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8_{18CCDEBC-420D-4B02-AF12-8C17B4CF0AAC}" xr6:coauthVersionLast="47" xr6:coauthVersionMax="47" xr10:uidLastSave="{00000000-0000-0000-0000-000000000000}"/>
  <bookViews>
    <workbookView xWindow="-120" yWindow="-120" windowWidth="29040" windowHeight="15720" xr2:uid="{DE452286-8C54-42EA-9FBD-687FCC5FC56A}"/>
  </bookViews>
  <sheets>
    <sheet name="bristo.lambdas" sheetId="1" r:id="rId1"/>
    <sheet name="tables" sheetId="7" r:id="rId2"/>
    <sheet name="options" sheetId="3" r:id="rId3"/>
    <sheet name="box" sheetId="5" r:id="rId4"/>
  </sheets>
  <definedNames>
    <definedName name="_xleta.DAY" hidden="1" xlm="1">#NAME?</definedName>
    <definedName name="_xleta.DELTA" hidden="1" xlm="1">#NAME?</definedName>
    <definedName name="_xleta.GAMMA" hidden="1" xlm="1">#NAME?</definedName>
    <definedName name="_xleta.MAX" hidden="1" xlm="1">#NAME?</definedName>
    <definedName name="_xleta.MID" hidden="1" xlm="1">#NAME?</definedName>
    <definedName name="_xleta.MIN" hidden="1" xlm="1">#NAME?</definedName>
    <definedName name="_xleta.SEQUENCE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in" hidden="1" xlm="1">#NAME?</definedName>
    <definedName name="_xlop.tolerance" hidden="1" xlm="1">#NAME?</definedName>
    <definedName name="_xlpm.__start" hidden="1" xlm="1">#NAME?</definedName>
    <definedName name="_xlpm._all_data" hidden="1" xlm="1">#NAME?</definedName>
    <definedName name="_xlpm._disc" hidden="1" xlm="1">#NAME?</definedName>
    <definedName name="_xlpm._end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out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arge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ccum" hidden="1" xlm="1">#NAME?</definedName>
    <definedName name="_xlpm.acum" hidden="1" xlm="1">#NAME?</definedName>
    <definedName name="_xlpm.all_data" hidden="1" xlm="1">#NAME?</definedName>
    <definedName name="_xlpm.b" hidden="1" xlm="1">#NAME?</definedName>
    <definedName name="_xlpm.borrow" hidden="1" xlm="1">#NAME?</definedName>
    <definedName name="_xlpm.bounds" hidden="1" xlm="1">#NAME?</definedName>
    <definedName name="_xlpm.c_p" hidden="1" xlm="1">#NAME?</definedName>
    <definedName name="_xlpm.calc_price" hidden="1" xlm="1">#NAME?</definedName>
    <definedName name="_xlpm.chars" hidden="1" xlm="1">#NAME?</definedName>
    <definedName name="_xlpm.code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" hidden="1" xlm="1">#NAME?</definedName>
    <definedName name="_xlpm.day" hidden="1" xlm="1">#NAME?</definedName>
    <definedName name="_xlpm.days" hidden="1" xlm="1">#NAME?</definedName>
    <definedName name="_xlpm.delta" hidden="1" xlm="1">#NAME?</definedName>
    <definedName name="_xlpm.df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ps" hidden="1" xlm="1">#NAME?</definedName>
    <definedName name="_xlpm.epsilon" hidden="1" xlm="1">#NAME?</definedName>
    <definedName name="_xlpm.expiry" hidden="1" xlm="1">#NAME?</definedName>
    <definedName name="_xlpm.f" hidden="1" xlm="1">#NAME?</definedName>
    <definedName name="_xlpm.final_bounds" hidden="1" xlm="1">#NAME?</definedName>
    <definedName name="_xlpm.fprime" hidden="1" xlm="1">#NAME?</definedName>
    <definedName name="_xlpm.fu" hidden="1" xlm="1">#NAME?</definedName>
    <definedName name="_xlpm.fun" hidden="1" xlm="1">#NAME?</definedName>
    <definedName name="_xlpm.func" hidden="1" xlm="1">#NAME?</definedName>
    <definedName name="_xlpm.funct" hidden="1" xlm="1">#NAME?</definedName>
    <definedName name="_xlpm.functi" hidden="1" xlm="1">#NAME?</definedName>
    <definedName name="_xlpm.functio" hidden="1" xlm="1">#NAME?</definedName>
    <definedName name="_xlpm.function" hidden="1" xlm="1">#NAME?</definedName>
    <definedName name="_xlpm.fx" hidden="1" xlm="1">#NAME?</definedName>
    <definedName name="_xlpm.gamma" hidden="1" xlm="1">#NAME?</definedName>
    <definedName name="_xlpm.h" hidden="1" xlm="1">#NAME?</definedName>
    <definedName name="_xlpm.high" hidden="1" xlm="1">#NAME?</definedName>
    <definedName name="_xlpm.ho" hidden="1" xlm="1">#NAME?</definedName>
    <definedName name="_xlpm.hol" hidden="1" xlm="1">#NAME?</definedName>
    <definedName name="_xlpm.holi" hidden="1" xlm="1">#NAME?</definedName>
    <definedName name="_xlpm.holid" hidden="1" xlm="1">#NAME?</definedName>
    <definedName name="_xlpm.holida" hidden="1" xlm="1">#NAME?</definedName>
    <definedName name="_xlpm.holiday" hidden="1" xlm="1">#NAME?</definedName>
    <definedName name="_xlpm.holidays" hidden="1" xlm="1">#NAME?</definedName>
    <definedName name="_xlpm.i" hidden="1" xlm="1">#NAME?</definedName>
    <definedName name="_xlpm.init_bounds" hidden="1" xlm="1">#NAME?</definedName>
    <definedName name="_xlpm.iterations" hidden="1" xlm="1">#NAME?</definedName>
    <definedName name="_xlpm.iters" hidden="1" xlm="1">#NAME?</definedName>
    <definedName name="_xlpm.K" hidden="1" xlm="1">#NAME?</definedName>
    <definedName name="_xlpm.len_sel" hidden="1" xlm="1">#NAME?</definedName>
    <definedName name="_xlpm.letwday" hidden="1" xlm="1">#NAME?</definedName>
    <definedName name="_xlpm.lewday" hidden="1" xlm="1">#NAME?</definedName>
    <definedName name="_xlpm.low" hidden="1" xlm="1">#NAME?</definedName>
    <definedName name="_xlpm.lwday" hidden="1" xlm="1">#NAME?</definedName>
    <definedName name="_xlpm.m" hidden="1" xlm="1">#NAME?</definedName>
    <definedName name="_xlpm.max" hidden="1" xlm="1">#NAME?</definedName>
    <definedName name="_xlpm.mi" hidden="1" xlm="1">#NAME?</definedName>
    <definedName name="_xlpm.mid" hidden="1" xlm="1">#NAME?</definedName>
    <definedName name="_xlpm.min" hidden="1" xlm="1">#NAME?</definedName>
    <definedName name="_xlpm.n" hidden="1" xlm="1">#NAME?</definedName>
    <definedName name="_xlpm.new" hidden="1" xlm="1">#NAME?</definedName>
    <definedName name="_xlpm.output" hidden="1" xlm="1">#NAME?</definedName>
    <definedName name="_xlpm.output_selector" hidden="1" xlm="1">#NAME?</definedName>
    <definedName name="_xlpm.premium" hidden="1" xlm="1">#NAME?</definedName>
    <definedName name="_xlpm.price" hidden="1" xlm="1">#NAME?</definedName>
    <definedName name="_xlpm.r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ho" hidden="1" xlm="1">#NAME?</definedName>
    <definedName name="_xlpm.row" hidden="1" xlm="1">#NAME?</definedName>
    <definedName name="_xlpm.S" hidden="1" xlm="1">#NAME?</definedName>
    <definedName name="_xlpm.sa" hidden="1" xlm="1">#NAME?</definedName>
    <definedName name="_xlpm.saa" hidden="1" xlm="1">#NAME?</definedName>
    <definedName name="_xlpm.selector" hidden="1" xlm="1">#NAME?</definedName>
    <definedName name="_xlpm.sigma" hidden="1" xlm="1">#NAME?</definedName>
    <definedName name="_xlpm.so" hidden="1" xlm="1">#NAME?</definedName>
    <definedName name="_xlpm.sop" hidden="1" xlm="1">#NAME?</definedName>
    <definedName name="_xlpm.sopt" hidden="1" xlm="1">#NAME?</definedName>
    <definedName name="_xlpm.sp" hidden="1" xlm="1">#NAME?</definedName>
    <definedName name="_xlpm.spo" hidden="1" xlm="1">#NAME?</definedName>
    <definedName name="_xlpm.spot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" hidden="1" xlm="1">#NAME?</definedName>
    <definedName name="_xlpm.start__" hidden="1" xlm="1">#NAME?</definedName>
    <definedName name="_xlpm.start_b" hidden="1" xlm="1">#NAME?</definedName>
    <definedName name="_xlpm.starta" hidden="1" xlm="1">#NAME?</definedName>
    <definedName name="_xlpm.str" hidden="1" xlm="1">#NAME?</definedName>
    <definedName name="_xlpm.stri" hidden="1" xlm="1">#NAME?</definedName>
    <definedName name="_xlpm.strik" hidden="1" xlm="1">#NAME?</definedName>
    <definedName name="_xlpm.strike" hidden="1" xlm="1">#NAME?</definedName>
    <definedName name="_xlpm.t" hidden="1" xlm="1">#NAME?</definedName>
    <definedName name="_xlpm.ta" hidden="1" xlm="1">#NAME?</definedName>
    <definedName name="_xlpm.taprice" hidden="1" xlm="1">#NAME?</definedName>
    <definedName name="_xlpm.targeprice" hidden="1" xlm="1">#NAME?</definedName>
    <definedName name="_xlpm.target_price" hidden="1" xlm="1">#NAME?</definedName>
    <definedName name="_xlpm.targetprice" hidden="1" xlm="1">#NAME?</definedName>
    <definedName name="_xlpm.targprice" hidden="1" xlm="1">#NAME?</definedName>
    <definedName name="_xlpm.tarprice" hidden="1" xlm="1">#NAME?</definedName>
    <definedName name="_xlpm.tau" hidden="1" xlm="1">#NAME?</definedName>
    <definedName name="_xlpm.theta" hidden="1" xlm="1">#NAME?</definedName>
    <definedName name="_xlpm.tol" hidden="1" xlm="1">#NAME?</definedName>
    <definedName name="_xlpm.tolerance" hidden="1" xlm="1">#NAME?</definedName>
    <definedName name="_xlpm.tprice" hidden="1" xlm="1">#NAME?</definedName>
    <definedName name="_xlpm.type" hidden="1" xlm="1">#NAME?</definedName>
    <definedName name="_xlpm.v" hidden="1" xlm="1">#NAME?</definedName>
    <definedName name="_xlpm.v_min" hidden="1" xlm="1">#NAME?</definedName>
    <definedName name="_xlpm.v_target" hidden="1" xlm="1">#NAME?</definedName>
    <definedName name="_xlpm.va" hidden="1" xlm="1">#NAME?</definedName>
    <definedName name="_xlpm.va_min" hidden="1" xlm="1">#NAME?</definedName>
    <definedName name="_xlpm.va_target" hidden="1" xlm="1">#NAME?</definedName>
    <definedName name="_xlpm.val" hidden="1" xlm="1">#NAME?</definedName>
    <definedName name="_xlpm.val_" hidden="1" xlm="1">#NAME?</definedName>
    <definedName name="_xlpm.val_min" hidden="1" xlm="1">#NAME?</definedName>
    <definedName name="_xlpm.val_t" hidden="1" xlm="1">#NAME?</definedName>
    <definedName name="_xlpm.val_ta" hidden="1" xlm="1">#NAME?</definedName>
    <definedName name="_xlpm.val_tar" hidden="1" xlm="1">#NAME?</definedName>
    <definedName name="_xlpm.val_targ" hidden="1" xlm="1">#NAME?</definedName>
    <definedName name="_xlpm.val_targe" hidden="1" xlm="1">#NAME?</definedName>
    <definedName name="_xlpm.val_target" hidden="1" xlm="1">#NAME?</definedName>
    <definedName name="_xlpm.vals" hidden="1" xlm="1">#NAME?</definedName>
    <definedName name="_xlpm.valu" hidden="1" xlm="1">#NAME?</definedName>
    <definedName name="_xlpm.valu_min" hidden="1" xlm="1">#NAME?</definedName>
    <definedName name="_xlpm.valu_target" hidden="1" xlm="1">#NAME?</definedName>
    <definedName name="_xlpm.value" hidden="1" xlm="1">#NAME?</definedName>
    <definedName name="_xlpm.value_min" hidden="1" xlm="1">#NAME?</definedName>
    <definedName name="_xlpm.value_target" hidden="1" xlm="1">#NAME?</definedName>
    <definedName name="_xlpm.vega" hidden="1" xlm="1">#NAME?</definedName>
    <definedName name="_xlpm.vol_m" hidden="1" xlm="1">#NAME?</definedName>
    <definedName name="_xlpm.vol_ma" hidden="1" xlm="1">#NAME?</definedName>
    <definedName name="_xlpm.vol_max" hidden="1" xlm="1">#NAME?</definedName>
    <definedName name="_xlpm.vol_min" hidden="1" xlm="1">#NAME?</definedName>
    <definedName name="_xlpm.vol_tolerance" hidden="1" xlm="1">#NAME?</definedName>
    <definedName name="_xlpm.voltolerance" hidden="1" xlm="1">#NAME?</definedName>
    <definedName name="_xlpm.votolerance" hidden="1" xlm="1">#NAME?</definedName>
    <definedName name="_xlpm.vtolerance" hidden="1" xlm="1">#NAME?</definedName>
    <definedName name="_xlpm.wday" hidden="1" xlm="1">#NAME?</definedName>
    <definedName name="_xlpm.x" hidden="1" xlm="1">#NAME?</definedName>
    <definedName name="_xlpm.x_" hidden="1" xlm="1">#NAME?</definedName>
    <definedName name="_xlpm.x_c" hidden="1" xlm="1">#NAME?</definedName>
    <definedName name="_xlpm.x_ca" hidden="1" xlm="1">#NAME?</definedName>
    <definedName name="_xlpm.x_cal" hidden="1" xlm="1">#NAME?</definedName>
    <definedName name="_xlpm.x_calc" hidden="1" xlm="1">#NAME?</definedName>
    <definedName name="_xlpm.x_target" hidden="1" xlm="1">#NAME?</definedName>
    <definedName name="_xlpm.xn" hidden="1" xlm="1">#NAME?</definedName>
    <definedName name="_xlpm.xstart" hidden="1" xlm="1">#NAME?</definedName>
    <definedName name="_xlpm.y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N_BDAYS">_xlfn.LAMBDA(_xlpm.x,_xlpm.y,
  _xlpm.x*_xlpm.y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OPT_IVOL2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_xlpm._tol,IF(_xlfn.ISOMITTED(_xlpm.tolerance),0.0001,_xlpm.tolerance),
    BRISTO.BISECT(_xlfn.LAMBDA(_xlpm.x,BRISTO.OPT_EURO(_xlpm.spot,_xlpm.type,_xlpm.tau,_xlpm.strike,_xlpm.borrow,_xlpm.df,_xlpm.x,"P")),_xlpm.price,_xlpm._min,_xlpm._max,_xlpm._tol)
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ExternalData_1" localSheetId="1" hidden="1">tables!$A$1:$A$868</definedName>
    <definedName name="ExternalData_2" localSheetId="1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1" i="1" s="1"/>
  <c r="C9" i="1" a="1"/>
  <c r="C9" i="1" s="1"/>
  <c r="C10" i="1" a="1"/>
  <c r="C10" i="1" s="1"/>
  <c r="L29" i="5" a="1"/>
  <c r="L29" i="5" s="1"/>
  <c r="L28" i="5" a="1"/>
  <c r="L28" i="5" s="1"/>
  <c r="L27" i="5" a="1"/>
  <c r="L27" i="5" s="1"/>
  <c r="L26" i="5" a="1"/>
  <c r="L26" i="5" s="1"/>
  <c r="I29" i="5" a="1"/>
  <c r="I29" i="5" s="1"/>
  <c r="J29" i="5" s="1"/>
  <c r="I28" i="5" a="1"/>
  <c r="I28" i="5" s="1"/>
  <c r="J28" i="5" s="1"/>
  <c r="I27" i="5" a="1"/>
  <c r="I27" i="5" s="1"/>
  <c r="J27" i="5" s="1"/>
  <c r="N27" i="5" s="1"/>
  <c r="I26" i="5" a="1"/>
  <c r="I26" i="5" s="1"/>
  <c r="J26" i="5" s="1"/>
  <c r="L7" i="5" a="1"/>
  <c r="L7" i="5" s="1"/>
  <c r="M7" i="5" s="1"/>
  <c r="L8" i="5" a="1"/>
  <c r="L8" i="5" s="1"/>
  <c r="M8" i="5" s="1"/>
  <c r="L9" i="5" a="1"/>
  <c r="L9" i="5" s="1"/>
  <c r="M9" i="5" s="1"/>
  <c r="L6" i="5" a="1"/>
  <c r="L6" i="5" s="1"/>
  <c r="M6" i="5" s="1"/>
  <c r="I9" i="5" a="1"/>
  <c r="I9" i="5" s="1"/>
  <c r="J9" i="5" s="1"/>
  <c r="I8" i="5" a="1"/>
  <c r="I8" i="5" s="1"/>
  <c r="J8" i="5" s="1"/>
  <c r="I7" i="5" a="1"/>
  <c r="I7" i="5" s="1"/>
  <c r="J7" i="5" s="1"/>
  <c r="N7" i="5" s="1"/>
  <c r="I6" i="5" a="1"/>
  <c r="I6" i="5" s="1"/>
  <c r="J6" i="5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26" i="3" a="1"/>
  <c r="K26" i="3" s="1"/>
  <c r="I20" i="3" a="1"/>
  <c r="I20" i="3" s="1"/>
  <c r="J20" i="3" s="1"/>
  <c r="I19" i="3" a="1"/>
  <c r="I19" i="3" s="1"/>
  <c r="J19" i="3" s="1"/>
  <c r="I18" i="3" a="1"/>
  <c r="I18" i="3" s="1"/>
  <c r="J18" i="3" s="1"/>
  <c r="I17" i="3" a="1"/>
  <c r="I17" i="3" s="1"/>
  <c r="J17" i="3" s="1"/>
  <c r="I13" i="3" a="1"/>
  <c r="I13" i="3" s="1"/>
  <c r="I12" i="3" a="1"/>
  <c r="I12" i="3" s="1"/>
  <c r="I11" i="3" a="1"/>
  <c r="I11" i="3" s="1"/>
  <c r="J11" i="3" s="1"/>
  <c r="I10" i="3" a="1"/>
  <c r="I10" i="3" s="1"/>
  <c r="J10" i="3" s="1"/>
  <c r="N10" i="3" s="1"/>
  <c r="I4" i="3" a="1"/>
  <c r="I4" i="3" s="1"/>
  <c r="J4" i="3" s="1"/>
  <c r="N4" i="3" s="1"/>
  <c r="I5" i="3" a="1"/>
  <c r="I5" i="3" s="1"/>
  <c r="J5" i="3" s="1"/>
  <c r="N5" i="3" s="1"/>
  <c r="I6" i="3" a="1"/>
  <c r="I6" i="3" s="1"/>
  <c r="J6" i="3" s="1"/>
  <c r="N6" i="3" s="1"/>
  <c r="I3" i="3" a="1"/>
  <c r="I3" i="3" s="1"/>
  <c r="J3" i="3" s="1"/>
  <c r="N3" i="3" s="1"/>
  <c r="L20" i="3" a="1"/>
  <c r="L20" i="3" s="1"/>
  <c r="M20" i="3" s="1"/>
  <c r="L19" i="3" a="1"/>
  <c r="L19" i="3" s="1"/>
  <c r="M19" i="3" s="1"/>
  <c r="L18" i="3" a="1"/>
  <c r="L18" i="3" s="1"/>
  <c r="M18" i="3" s="1"/>
  <c r="L17" i="3" a="1"/>
  <c r="L17" i="3" s="1"/>
  <c r="M17" i="3" s="1"/>
  <c r="L13" i="3" a="1"/>
  <c r="L13" i="3" s="1"/>
  <c r="L12" i="3" a="1"/>
  <c r="L12" i="3" s="1"/>
  <c r="L11" i="3" a="1"/>
  <c r="L11" i="3" s="1"/>
  <c r="M11" i="3" s="1"/>
  <c r="L10" i="3" a="1"/>
  <c r="L10" i="3" s="1"/>
  <c r="M10" i="3" s="1"/>
  <c r="L4" i="3" a="1"/>
  <c r="L4" i="3" s="1"/>
  <c r="M4" i="3" s="1"/>
  <c r="L5" i="3" a="1"/>
  <c r="L5" i="3" s="1"/>
  <c r="M5" i="3" s="1"/>
  <c r="L6" i="3" a="1"/>
  <c r="L6" i="3" s="1"/>
  <c r="M6" i="3" s="1"/>
  <c r="L3" i="3" a="1"/>
  <c r="L3" i="3" s="1"/>
  <c r="M3" i="3" s="1"/>
  <c r="Y26" i="5"/>
  <c r="Y27" i="5" s="1"/>
  <c r="Y28" i="5" s="1"/>
  <c r="Y29" i="5" s="1"/>
  <c r="Y9" i="5"/>
  <c r="Y8" i="5"/>
  <c r="Y7" i="5"/>
  <c r="Y6" i="5"/>
  <c r="K11" i="5"/>
  <c r="K12" i="5" s="1"/>
  <c r="R29" i="5"/>
  <c r="F29" i="5"/>
  <c r="R28" i="5"/>
  <c r="F28" i="5"/>
  <c r="R27" i="5"/>
  <c r="F27" i="5"/>
  <c r="R26" i="5"/>
  <c r="F26" i="5"/>
  <c r="E22" i="5"/>
  <c r="E19" i="5"/>
  <c r="E20" i="5" s="1"/>
  <c r="D14" i="5"/>
  <c r="D15" i="5"/>
  <c r="E15" i="5" s="1"/>
  <c r="D16" i="5"/>
  <c r="D13" i="5"/>
  <c r="E13" i="5" s="1"/>
  <c r="F9" i="5"/>
  <c r="F8" i="5"/>
  <c r="F7" i="5"/>
  <c r="F6" i="5"/>
  <c r="R9" i="5"/>
  <c r="R8" i="5"/>
  <c r="R7" i="5"/>
  <c r="R6" i="5"/>
  <c r="X22" i="3"/>
  <c r="Y22" i="3"/>
  <c r="X23" i="3"/>
  <c r="Y23" i="3"/>
  <c r="X24" i="3"/>
  <c r="Y24" i="3"/>
  <c r="X25" i="3"/>
  <c r="Y25" i="3"/>
  <c r="R20" i="3"/>
  <c r="R19" i="3"/>
  <c r="R18" i="3"/>
  <c r="R17" i="3"/>
  <c r="C8" i="1"/>
  <c r="C7" i="1" a="1"/>
  <c r="C7" i="1" s="1"/>
  <c r="C6" i="1" a="1"/>
  <c r="C6" i="1" s="1"/>
  <c r="C5" i="1" a="1"/>
  <c r="C5" i="1" s="1"/>
  <c r="E27" i="3"/>
  <c r="C27" i="3"/>
  <c r="C28" i="3" s="1"/>
  <c r="C29" i="3" s="1"/>
  <c r="G26" i="3"/>
  <c r="R13" i="3"/>
  <c r="R12" i="3"/>
  <c r="R11" i="3"/>
  <c r="R10" i="3"/>
  <c r="E10" i="3"/>
  <c r="E11" i="3" s="1"/>
  <c r="R6" i="3"/>
  <c r="R5" i="3"/>
  <c r="R4" i="3"/>
  <c r="R3" i="3"/>
  <c r="O3" i="3" l="1"/>
  <c r="P3" i="3" s="1"/>
  <c r="O6" i="3"/>
  <c r="P6" i="3" s="1"/>
  <c r="E16" i="5"/>
  <c r="E14" i="5"/>
  <c r="E23" i="5"/>
  <c r="E17" i="5"/>
  <c r="N29" i="5"/>
  <c r="N28" i="5"/>
  <c r="N26" i="5"/>
  <c r="N9" i="5"/>
  <c r="S9" i="5" s="1" a="1"/>
  <c r="N8" i="5"/>
  <c r="S8" i="5" s="1" a="1"/>
  <c r="S7" i="5" a="1"/>
  <c r="O7" i="5"/>
  <c r="P7" i="5" s="1"/>
  <c r="Q7" i="5" s="1"/>
  <c r="N6" i="5"/>
  <c r="S6" i="5" s="1" a="1"/>
  <c r="N20" i="3"/>
  <c r="S20" i="3" s="1" a="1"/>
  <c r="N19" i="3"/>
  <c r="O19" i="3" s="1"/>
  <c r="P19" i="3" s="1"/>
  <c r="S19" i="3" a="1"/>
  <c r="N18" i="3"/>
  <c r="O18" i="3" s="1"/>
  <c r="P18" i="3" s="1"/>
  <c r="Q18" i="3" s="1"/>
  <c r="S18" i="3" a="1"/>
  <c r="N17" i="3"/>
  <c r="O17" i="3" s="1"/>
  <c r="P17" i="3" s="1"/>
  <c r="Q17" i="3" s="1"/>
  <c r="S17" i="3" a="1"/>
  <c r="S17" i="3" s="1"/>
  <c r="AB17" i="3" s="1" a="1"/>
  <c r="AB17" i="3" s="1"/>
  <c r="AC17" i="3" s="1"/>
  <c r="Q19" i="3"/>
  <c r="O5" i="3"/>
  <c r="P5" i="3" s="1"/>
  <c r="O4" i="3"/>
  <c r="P4" i="3" s="1"/>
  <c r="E28" i="3"/>
  <c r="G27" i="3"/>
  <c r="N11" i="3"/>
  <c r="O11" i="3" s="1"/>
  <c r="P11" i="3" s="1"/>
  <c r="E29" i="3"/>
  <c r="G28" i="3"/>
  <c r="C30" i="3"/>
  <c r="C31" i="3" s="1"/>
  <c r="C32" i="3" s="1"/>
  <c r="C33" i="3" s="1"/>
  <c r="C34" i="3" s="1"/>
  <c r="C35" i="3" s="1"/>
  <c r="C36" i="3" s="1"/>
  <c r="C37" i="3" s="1"/>
  <c r="H26" i="3"/>
  <c r="H27" i="3"/>
  <c r="L26" i="3"/>
  <c r="M26" i="3" s="1"/>
  <c r="E12" i="3"/>
  <c r="O10" i="3"/>
  <c r="P10" i="3" s="1"/>
  <c r="V3" i="3" l="1"/>
  <c r="T3" i="3"/>
  <c r="U3" i="3"/>
  <c r="Q3" i="3"/>
  <c r="V6" i="3"/>
  <c r="V25" i="3" s="1"/>
  <c r="T6" i="3"/>
  <c r="U6" i="3"/>
  <c r="Q6" i="3"/>
  <c r="V22" i="3"/>
  <c r="AA9" i="5"/>
  <c r="AB9" i="5"/>
  <c r="S9" i="5"/>
  <c r="Z9" i="5" s="1"/>
  <c r="O9" i="5"/>
  <c r="P9" i="5" s="1"/>
  <c r="Q9" i="5" s="1"/>
  <c r="AC9" i="5" a="1"/>
  <c r="AC9" i="5" s="1"/>
  <c r="AD9" i="5" s="1"/>
  <c r="S8" i="5"/>
  <c r="Z8" i="5" s="1"/>
  <c r="AA8" i="5"/>
  <c r="AB8" i="5"/>
  <c r="O8" i="5"/>
  <c r="P8" i="5" s="1"/>
  <c r="Q8" i="5" s="1"/>
  <c r="AC8" i="5" a="1"/>
  <c r="AC8" i="5" s="1"/>
  <c r="AD8" i="5" s="1"/>
  <c r="S7" i="5"/>
  <c r="AB7" i="5"/>
  <c r="AA7" i="5"/>
  <c r="S6" i="5"/>
  <c r="AA6" i="5"/>
  <c r="AB6" i="5"/>
  <c r="O6" i="5"/>
  <c r="P6" i="5" s="1"/>
  <c r="Q6" i="5" s="1"/>
  <c r="O20" i="3"/>
  <c r="P20" i="3" s="1"/>
  <c r="Q20" i="3" s="1"/>
  <c r="Z20" i="3"/>
  <c r="AA20" i="3"/>
  <c r="S20" i="3"/>
  <c r="AB20" i="3" s="1" a="1"/>
  <c r="AB20" i="3" s="1"/>
  <c r="AC20" i="3" s="1"/>
  <c r="S19" i="3"/>
  <c r="AB19" i="3" s="1" a="1"/>
  <c r="AB19" i="3" s="1"/>
  <c r="AC19" i="3" s="1"/>
  <c r="AA19" i="3"/>
  <c r="Z19" i="3"/>
  <c r="AA18" i="3"/>
  <c r="Z18" i="3"/>
  <c r="S18" i="3"/>
  <c r="AB18" i="3" s="1" a="1"/>
  <c r="AB18" i="3" s="1"/>
  <c r="AC18" i="3" s="1"/>
  <c r="AA17" i="3"/>
  <c r="Z17" i="3"/>
  <c r="Q5" i="3"/>
  <c r="T5" i="3"/>
  <c r="U5" i="3"/>
  <c r="V5" i="3"/>
  <c r="V24" i="3" s="1"/>
  <c r="T11" i="3"/>
  <c r="Q11" i="3"/>
  <c r="V11" i="3"/>
  <c r="U11" i="3"/>
  <c r="Q4" i="3"/>
  <c r="T4" i="3"/>
  <c r="U4" i="3"/>
  <c r="V4" i="3"/>
  <c r="V23" i="3" s="1"/>
  <c r="E30" i="3"/>
  <c r="G29" i="3"/>
  <c r="H28" i="3"/>
  <c r="M12" i="3"/>
  <c r="J12" i="3"/>
  <c r="E13" i="3"/>
  <c r="T10" i="3"/>
  <c r="U10" i="3"/>
  <c r="V10" i="3"/>
  <c r="Q10" i="3"/>
  <c r="W10" i="3" s="1"/>
  <c r="L27" i="3"/>
  <c r="M27" i="3" s="1"/>
  <c r="AA3" i="3" l="1"/>
  <c r="AA22" i="3" s="1"/>
  <c r="T22" i="3"/>
  <c r="Z3" i="3"/>
  <c r="Z22" i="3" s="1"/>
  <c r="U22" i="3"/>
  <c r="S3" i="3"/>
  <c r="S22" i="3" s="1"/>
  <c r="W3" i="3"/>
  <c r="W22" i="3" s="1"/>
  <c r="AA6" i="3"/>
  <c r="AA25" i="3" s="1"/>
  <c r="T25" i="3"/>
  <c r="Z6" i="3"/>
  <c r="Z25" i="3" s="1"/>
  <c r="U25" i="3"/>
  <c r="S6" i="3"/>
  <c r="S25" i="3" s="1"/>
  <c r="W6" i="3"/>
  <c r="W25" i="3" s="1"/>
  <c r="Z6" i="5"/>
  <c r="AC6" i="5" a="1"/>
  <c r="AC6" i="5" s="1"/>
  <c r="AD6" i="5" s="1"/>
  <c r="AC7" i="5" a="1"/>
  <c r="AC7" i="5" s="1"/>
  <c r="AD7" i="5" s="1"/>
  <c r="Z7" i="5"/>
  <c r="AA5" i="3"/>
  <c r="AA24" i="3" s="1"/>
  <c r="T24" i="3"/>
  <c r="Z5" i="3"/>
  <c r="Z24" i="3" s="1"/>
  <c r="U24" i="3"/>
  <c r="AA4" i="3"/>
  <c r="AA23" i="3" s="1"/>
  <c r="T23" i="3"/>
  <c r="Z4" i="3"/>
  <c r="Z23" i="3" s="1"/>
  <c r="U23" i="3"/>
  <c r="S5" i="3"/>
  <c r="S24" i="3" s="1"/>
  <c r="W5" i="3"/>
  <c r="W24" i="3" s="1"/>
  <c r="S11" i="3"/>
  <c r="W11" i="3"/>
  <c r="Z11" i="3"/>
  <c r="W4" i="3"/>
  <c r="W23" i="3" s="1"/>
  <c r="S4" i="3"/>
  <c r="S23" i="3" s="1"/>
  <c r="AA11" i="3"/>
  <c r="N12" i="3"/>
  <c r="O12" i="3" s="1"/>
  <c r="P12" i="3" s="1"/>
  <c r="AA10" i="3"/>
  <c r="Z10" i="3"/>
  <c r="E31" i="3"/>
  <c r="G30" i="3"/>
  <c r="H29" i="3"/>
  <c r="J13" i="3"/>
  <c r="M13" i="3"/>
  <c r="L28" i="3"/>
  <c r="M28" i="3" s="1"/>
  <c r="S10" i="3"/>
  <c r="Z10" i="5" l="1"/>
  <c r="Z12" i="5" s="1"/>
  <c r="Z13" i="5" s="1"/>
  <c r="Z14" i="5" s="1"/>
  <c r="Z15" i="5" s="1"/>
  <c r="M23" i="5" s="1"/>
  <c r="M27" i="5" s="1"/>
  <c r="N13" i="3"/>
  <c r="E32" i="3"/>
  <c r="G31" i="3"/>
  <c r="H30" i="3"/>
  <c r="V12" i="3"/>
  <c r="T12" i="3"/>
  <c r="Q12" i="3"/>
  <c r="U12" i="3"/>
  <c r="L29" i="3"/>
  <c r="M29" i="3" s="1"/>
  <c r="M26" i="5" l="1"/>
  <c r="M28" i="5"/>
  <c r="M29" i="5"/>
  <c r="S27" i="5" a="1"/>
  <c r="O27" i="5"/>
  <c r="P27" i="5" s="1"/>
  <c r="Q27" i="5" s="1"/>
  <c r="O13" i="3"/>
  <c r="P13" i="3" s="1"/>
  <c r="AA12" i="3"/>
  <c r="S12" i="3"/>
  <c r="W12" i="3"/>
  <c r="Z12" i="3"/>
  <c r="E33" i="3"/>
  <c r="G32" i="3"/>
  <c r="H31" i="3"/>
  <c r="L30" i="3"/>
  <c r="M30" i="3" s="1"/>
  <c r="S26" i="5" l="1" a="1"/>
  <c r="O26" i="5"/>
  <c r="P26" i="5" s="1"/>
  <c r="Q26" i="5" s="1"/>
  <c r="O29" i="5"/>
  <c r="P29" i="5" s="1"/>
  <c r="Q29" i="5" s="1"/>
  <c r="S29" i="5" a="1"/>
  <c r="O28" i="5"/>
  <c r="P28" i="5" s="1"/>
  <c r="Q28" i="5" s="1"/>
  <c r="S28" i="5" a="1"/>
  <c r="AA27" i="5"/>
  <c r="AB27" i="5"/>
  <c r="S27" i="5"/>
  <c r="Q13" i="3"/>
  <c r="T13" i="3"/>
  <c r="V13" i="3"/>
  <c r="U13" i="3"/>
  <c r="G33" i="3"/>
  <c r="E34" i="3"/>
  <c r="H32" i="3"/>
  <c r="L31" i="3"/>
  <c r="M31" i="3" s="1"/>
  <c r="AA26" i="5" l="1"/>
  <c r="S26" i="5"/>
  <c r="AB26" i="5"/>
  <c r="AB29" i="5"/>
  <c r="S29" i="5"/>
  <c r="AA29" i="5"/>
  <c r="S28" i="5"/>
  <c r="AA28" i="5"/>
  <c r="AB28" i="5"/>
  <c r="AC26" i="5" a="1"/>
  <c r="AC26" i="5" s="1"/>
  <c r="AD26" i="5" s="1"/>
  <c r="Z26" i="5"/>
  <c r="AC28" i="5" a="1"/>
  <c r="AC28" i="5" s="1"/>
  <c r="AD28" i="5" s="1"/>
  <c r="Z28" i="5"/>
  <c r="AC27" i="5" a="1"/>
  <c r="AC27" i="5" s="1"/>
  <c r="AD27" i="5" s="1"/>
  <c r="Z27" i="5"/>
  <c r="Z29" i="5"/>
  <c r="AC29" i="5" a="1"/>
  <c r="AC29" i="5" s="1"/>
  <c r="AD29" i="5" s="1"/>
  <c r="W13" i="3"/>
  <c r="S13" i="3"/>
  <c r="AA13" i="3"/>
  <c r="Z13" i="3"/>
  <c r="L33" i="3"/>
  <c r="M33" i="3" s="1"/>
  <c r="H33" i="3"/>
  <c r="G34" i="3"/>
  <c r="E35" i="3"/>
  <c r="G35" i="3" s="1"/>
  <c r="L32" i="3"/>
  <c r="M32" i="3" s="1"/>
  <c r="Z30" i="5" l="1"/>
  <c r="Z31" i="5" s="1"/>
  <c r="H34" i="3"/>
  <c r="L34" i="3"/>
  <c r="M34" i="3" s="1"/>
  <c r="H35" i="3"/>
  <c r="AG13" i="3" l="1" a="1"/>
  <c r="AC12" i="3" a="1"/>
  <c r="AC12" i="3" s="1"/>
  <c r="AG12" i="3" a="1"/>
  <c r="AC13" i="3" a="1"/>
  <c r="AC13" i="3" s="1"/>
  <c r="AC10" i="3" a="1"/>
  <c r="AC10" i="3" s="1"/>
  <c r="AG10" i="3" a="1"/>
  <c r="AG11" i="3" a="1"/>
  <c r="AC11" i="3" a="1"/>
  <c r="AC11" i="3" s="1"/>
  <c r="L35" i="3"/>
  <c r="M35" i="3" s="1"/>
  <c r="AG13" i="3" l="1"/>
  <c r="AK13" i="3"/>
  <c r="AM13" i="3" s="1"/>
  <c r="AN13" i="3" s="1"/>
  <c r="AO13" i="3" s="1"/>
  <c r="AG12" i="3"/>
  <c r="AK12" i="3"/>
  <c r="AM12" i="3" s="1"/>
  <c r="AN12" i="3" s="1"/>
  <c r="AO12" i="3" s="1"/>
  <c r="AG10" i="3"/>
  <c r="AK10" i="3"/>
  <c r="AM10" i="3" s="1"/>
  <c r="AN10" i="3" s="1"/>
  <c r="AO10" i="3" s="1"/>
  <c r="AK11" i="3"/>
  <c r="AM11" i="3" s="1"/>
  <c r="AN11" i="3" s="1"/>
  <c r="AO11" i="3" s="1"/>
  <c r="AG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<sst xmlns="http://schemas.openxmlformats.org/spreadsheetml/2006/main" count="221" uniqueCount="67">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</sst>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/>
    <xf numFmtId="0" fontId="4" fillId="0" borderId="0"/>
    <xf numFmtId="0" fontId="3" fillId="0" borderId="0"/>
  </cellStyleXfs>
  <cellXfs count="2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11" totalsRowShown="0">
  <autoFilter ref="B4:C11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tabSelected="1" workbookViewId="0">
      <selection activeCell="E20" sqref="E20"/>
    </sheetView>
  </sheetViews>
  <sheetFormatPr defaultRowHeight="15" x14ac:dyDescent="0.25"/>
  <cols>
    <col min="2" max="2" width="20.5703125" bestFit="1" customWidth="1"/>
    <col min="3" max="3" width="16.28515625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  <c r="G8" s="2"/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  <c r="G9" s="2"/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  <c r="G10" s="2"/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  <c r="G11" s="2"/>
    </row>
    <row r="12" spans="2:7" x14ac:dyDescent="0.25">
      <c r="G12" s="2"/>
    </row>
    <row r="13" spans="2:7" x14ac:dyDescent="0.25">
      <c r="G13" s="2"/>
    </row>
    <row r="14" spans="2:7" x14ac:dyDescent="0.25">
      <c r="G14" s="2"/>
    </row>
    <row r="15" spans="2:7" x14ac:dyDescent="0.25">
      <c r="G15" s="2"/>
    </row>
    <row r="16" spans="2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F35" sqref="F35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O40"/>
  <sheetViews>
    <sheetView workbookViewId="0">
      <selection activeCell="I3" sqref="I3:I6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42578125" customWidth="1"/>
    <col min="25" max="25" width="9.140625" bestFit="1" customWidth="1"/>
    <col min="26" max="26" width="11" bestFit="1" customWidth="1"/>
    <col min="27" max="27" width="8.85546875" bestFit="1" customWidth="1"/>
    <col min="28" max="28" width="12.5703125" customWidth="1"/>
    <col min="29" max="29" width="9.85546875" bestFit="1" customWidth="1"/>
    <col min="30" max="30" width="3" bestFit="1" customWidth="1"/>
    <col min="31" max="32" width="12" bestFit="1" customWidth="1"/>
    <col min="33" max="33" width="9.5703125" bestFit="1" customWidth="1"/>
    <col min="34" max="34" width="4" bestFit="1" customWidth="1"/>
    <col min="35" max="35" width="12" bestFit="1" customWidth="1"/>
    <col min="36" max="36" width="7.5703125" bestFit="1" customWidth="1"/>
    <col min="37" max="37" width="6.5703125" bestFit="1" customWidth="1"/>
    <col min="38" max="38" width="3" bestFit="1" customWidth="1"/>
    <col min="39" max="40" width="12" bestFit="1" customWidth="1"/>
    <col min="41" max="41" width="10.140625" bestFit="1" customWidth="1"/>
  </cols>
  <sheetData>
    <row r="2" spans="1:41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27</v>
      </c>
      <c r="Y2" s="1" t="s">
        <v>28</v>
      </c>
      <c r="Z2" s="1" t="s">
        <v>29</v>
      </c>
      <c r="AA2" s="1" t="s">
        <v>30</v>
      </c>
      <c r="AB2" s="1"/>
    </row>
    <row r="3" spans="1:41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 t="shared" ref="R3:R6" si="0"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>
        <v>5.4032</v>
      </c>
      <c r="Y3" s="6">
        <v>1000000</v>
      </c>
      <c r="Z3" s="3">
        <f>Y3*U3*C3*1%*C3/X3</f>
        <v>149059.42139569996</v>
      </c>
      <c r="AA3" s="6">
        <f>Y3*T3</f>
        <v>-366845.6395588388</v>
      </c>
      <c r="AB3" s="6"/>
    </row>
    <row r="4" spans="1:41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 t="shared" ref="J4:J6" si="1"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 t="shared" ref="M4:M6" si="2">1/((1+K4)^(L4/252))</f>
        <v>0.94698901788845258</v>
      </c>
      <c r="N4" s="9">
        <f t="shared" ref="N4:N6" si="3">1/((1+G4)^J4)</f>
        <v>1</v>
      </c>
      <c r="O4" s="5">
        <f t="shared" ref="O4:O6" si="4">LN(N4/M4)/J4</f>
        <v>0.14006001240514271</v>
      </c>
      <c r="P4" s="7">
        <f t="shared" ref="P4:P6" si="5">(LN(C4/F4) + (O4 + (H4^2)/2)*J4) / (H4*SQRT(J4))</f>
        <v>0.44791532627007996</v>
      </c>
      <c r="Q4" s="7">
        <f t="shared" ref="Q4:Q6" si="6">P4-H4*SQRT(J4)</f>
        <v>0.29768778219110625</v>
      </c>
      <c r="R4">
        <f t="shared" si="0"/>
        <v>1</v>
      </c>
      <c r="S4" s="10">
        <f t="shared" ref="S4:S6" si="7"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 t="shared" ref="U4:U6" si="8">(_xlfn.NORM.S.DIST(P4,FALSE)/(C4*H4*SQRT(J4)))*N4</f>
        <v>7.3797841347946203E-2</v>
      </c>
      <c r="V4" s="12">
        <f t="shared" ref="V4:V6" si="9">_xlfn.NORM.S.DIST(P4,FALSE)*C4*SQRT(J4)*N4</f>
        <v>7.3250059066811817</v>
      </c>
      <c r="W4" s="13">
        <f t="shared" ref="W4:W6" si="10">(-C4*_xlfn.NORM.S.DIST(P4,FALSE)*H4/(2*SQRT(J4))-R4*O4*F4*EXP(-O4*J4)*_xlfn.NORM.S.DIST(Q4*R4,TRUE))/252</f>
        <v>-1.9557773779967841E-2</v>
      </c>
      <c r="X4" s="13">
        <v>5.4032</v>
      </c>
      <c r="Y4" s="6">
        <v>1000000</v>
      </c>
      <c r="Z4" s="3">
        <f t="shared" ref="Z4:Z6" si="11">Y4*U4*C4*1%*C4/X4</f>
        <v>144708.68633911823</v>
      </c>
      <c r="AA4" s="6">
        <f>Y4*T4</f>
        <v>672892.84652870335</v>
      </c>
      <c r="AB4" s="6"/>
    </row>
    <row r="5" spans="1:41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 t="shared" si="1"/>
        <v>0.3888888888888889</v>
      </c>
      <c r="K5" s="8">
        <v>0.14712500000000001</v>
      </c>
      <c r="L5" s="6" cm="1">
        <f t="array" ref="L5">BRISTO.BDAYS(B5,E5,holiday_br[])</f>
        <v>100</v>
      </c>
      <c r="M5" s="9">
        <f t="shared" si="2"/>
        <v>0.94698901788845258</v>
      </c>
      <c r="N5" s="9">
        <f t="shared" si="3"/>
        <v>1</v>
      </c>
      <c r="O5" s="5">
        <f t="shared" si="4"/>
        <v>0.14006001240514271</v>
      </c>
      <c r="P5" s="7">
        <f t="shared" si="5"/>
        <v>-0.94825206878691815</v>
      </c>
      <c r="Q5" s="7">
        <f t="shared" si="6"/>
        <v>-1.1078337563328267</v>
      </c>
      <c r="R5">
        <f t="shared" si="0"/>
        <v>-1</v>
      </c>
      <c r="S5" s="10">
        <f t="shared" si="7"/>
        <v>6.2473624302637525</v>
      </c>
      <c r="T5" s="11">
        <f>(_xlfn.NORM.S.DIST(P5, TRUE)-IF(D5="P",1,0))*N5</f>
        <v>-0.82849942725574399</v>
      </c>
      <c r="U5" s="5">
        <f t="shared" si="8"/>
        <v>4.8991544616826962E-2</v>
      </c>
      <c r="V5" s="12">
        <f t="shared" si="9"/>
        <v>5.1655781791054469</v>
      </c>
      <c r="W5" s="13">
        <f t="shared" si="10"/>
        <v>1.1716456065499861E-2</v>
      </c>
      <c r="X5" s="13">
        <v>5.4032</v>
      </c>
      <c r="Y5" s="6">
        <v>1000000</v>
      </c>
      <c r="Z5" s="3">
        <f t="shared" si="11"/>
        <v>96066.523542326235</v>
      </c>
      <c r="AA5" s="6">
        <f>Y5*T5</f>
        <v>-828499.427255744</v>
      </c>
      <c r="AB5" s="6"/>
    </row>
    <row r="6" spans="1:41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 t="shared" si="1"/>
        <v>0.3888888888888889</v>
      </c>
      <c r="K6" s="8">
        <v>0.14712500000000001</v>
      </c>
      <c r="L6" s="6" cm="1">
        <f t="array" ref="L6">BRISTO.BDAYS(B6,E6,holiday_br[])</f>
        <v>100</v>
      </c>
      <c r="M6" s="9">
        <f t="shared" si="2"/>
        <v>0.94698901788845258</v>
      </c>
      <c r="N6" s="9">
        <f t="shared" si="3"/>
        <v>0.98120491961691236</v>
      </c>
      <c r="O6" s="5">
        <f t="shared" si="4"/>
        <v>9.1269848235710271E-2</v>
      </c>
      <c r="P6" s="7">
        <f t="shared" si="5"/>
        <v>-1.0671501267304313</v>
      </c>
      <c r="Q6" s="7">
        <f t="shared" si="6"/>
        <v>-1.2267318142763399</v>
      </c>
      <c r="R6">
        <f t="shared" si="0"/>
        <v>1</v>
      </c>
      <c r="S6" s="10">
        <f t="shared" si="7"/>
        <v>0.34826596459266523</v>
      </c>
      <c r="T6" s="11">
        <f>(_xlfn.NORM.S.DIST(P6, TRUE)-IF(D6="P",1,0))*N6</f>
        <v>0.14026522989850662</v>
      </c>
      <c r="U6" s="5">
        <f t="shared" si="8"/>
        <v>4.2642869268756892E-2</v>
      </c>
      <c r="V6" s="12">
        <f t="shared" si="9"/>
        <v>4.4961855502200221</v>
      </c>
      <c r="W6" s="13">
        <f t="shared" si="10"/>
        <v>-7.539433415031823E-3</v>
      </c>
      <c r="X6" s="13">
        <v>5.4032</v>
      </c>
      <c r="Y6" s="6">
        <v>1000000</v>
      </c>
      <c r="Z6" s="3">
        <f t="shared" si="11"/>
        <v>83617.535159574123</v>
      </c>
      <c r="AA6" s="6">
        <f>Y6*T6</f>
        <v>140265.22989850663</v>
      </c>
      <c r="AB6" s="6"/>
    </row>
    <row r="7" spans="1:41" x14ac:dyDescent="0.25">
      <c r="J7" s="5"/>
      <c r="K7" s="5"/>
    </row>
    <row r="8" spans="1:41" x14ac:dyDescent="0.25">
      <c r="E8" s="2">
        <v>46128</v>
      </c>
      <c r="AC8" s="19" t="s">
        <v>33</v>
      </c>
      <c r="AD8" s="19"/>
      <c r="AE8" s="19"/>
      <c r="AF8" s="19"/>
      <c r="AG8" s="19" t="s">
        <v>34</v>
      </c>
      <c r="AH8" s="19"/>
      <c r="AI8" s="19"/>
      <c r="AJ8" s="19"/>
    </row>
    <row r="9" spans="1:41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27</v>
      </c>
      <c r="Y9" s="1" t="s">
        <v>28</v>
      </c>
      <c r="Z9" s="1" t="s">
        <v>29</v>
      </c>
      <c r="AA9" s="1" t="s">
        <v>30</v>
      </c>
      <c r="AC9" s="1" t="s">
        <v>35</v>
      </c>
      <c r="AD9" s="1" t="s">
        <v>36</v>
      </c>
      <c r="AE9" s="1" t="s">
        <v>13</v>
      </c>
      <c r="AF9" s="1" t="s">
        <v>37</v>
      </c>
      <c r="AG9" s="1" t="s">
        <v>35</v>
      </c>
      <c r="AH9" s="1" t="s">
        <v>36</v>
      </c>
      <c r="AI9" s="1" t="s">
        <v>13</v>
      </c>
      <c r="AJ9" s="1" t="s">
        <v>37</v>
      </c>
      <c r="AK9" s="1" t="s">
        <v>38</v>
      </c>
      <c r="AO9" s="14" t="s">
        <v>39</v>
      </c>
    </row>
    <row r="10" spans="1:41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 t="shared" ref="R10:R13" si="12"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>
        <v>5.4032</v>
      </c>
      <c r="Y10" s="6">
        <v>1000000</v>
      </c>
      <c r="Z10" s="3">
        <f>Y10*U10*C10*1%*C10/X10</f>
        <v>149925.3083725</v>
      </c>
      <c r="AA10" s="6">
        <f>Y10*T10</f>
        <v>-367461.75151705893</v>
      </c>
      <c r="AC10" s="2" cm="1">
        <f t="array" ref="AC10:AF10">_xlfn.XLOOKUP(E10,$J$26:$J$35,$J$26:$M$35,"",-1)</f>
        <v>46112</v>
      </c>
      <c r="AD10">
        <v>88</v>
      </c>
      <c r="AE10">
        <v>0.34920634920634919</v>
      </c>
      <c r="AF10">
        <v>1.0492985135724895</v>
      </c>
      <c r="AG10" s="2" cm="1">
        <f t="array" ref="AG10:AJ10">_xlfn.XLOOKUP(E10,$J$26:$J$35,$J$26:$M$35,"",1)</f>
        <v>46142</v>
      </c>
      <c r="AH10">
        <v>108</v>
      </c>
      <c r="AI10">
        <v>0.42857142857142855</v>
      </c>
      <c r="AJ10" s="12">
        <v>1.060461050053632</v>
      </c>
      <c r="AK10" s="13">
        <f>AJ10/AF10</f>
        <v>1.0106380942474968</v>
      </c>
      <c r="AL10" s="6">
        <v>11</v>
      </c>
      <c r="AM10">
        <f>AK10^(AL10/(AH10-AD10))</f>
        <v>1.0058370187089534</v>
      </c>
      <c r="AN10">
        <f>AM10*AF10</f>
        <v>1.055423288627489</v>
      </c>
      <c r="AO10" s="15">
        <f>AN10^(252/(AD10+AL10))-1</f>
        <v>0.14717990560500693</v>
      </c>
    </row>
    <row r="11" spans="1:41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 t="shared" ref="J11:J13" si="13"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 t="shared" ref="M11:M13" si="14">1/((1+K11)^(L11/252))</f>
        <v>0.94750496230696735</v>
      </c>
      <c r="N11" s="9">
        <f t="shared" ref="N11:N13" si="15">1/((1+G11)^J11)</f>
        <v>1</v>
      </c>
      <c r="O11" s="5">
        <f t="shared" ref="O11:O13" si="16">LN(N11/M11)/J11</f>
        <v>0.14008889075821601</v>
      </c>
      <c r="P11" s="7">
        <f t="shared" ref="P11:P13" si="17">(LN(C11/F11) + (O11 + (H11^2)/2)*J11) / (H11*SQRT(J11))</f>
        <v>0.44580351355506143</v>
      </c>
      <c r="Q11" s="7">
        <f t="shared" ref="Q11:Q13" si="18">P11-H11*SQRT(J11)</f>
        <v>0.29634440185079436</v>
      </c>
      <c r="R11">
        <f t="shared" si="12"/>
        <v>1</v>
      </c>
      <c r="S11" s="10">
        <f t="shared" ref="S11:S13" si="19"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 t="shared" ref="U11:U13" si="20">(_xlfn.NORM.S.DIST(P11,FALSE)/(C11*H11*SQRT(J11)))*N11</f>
        <v>7.4247300093100654E-2</v>
      </c>
      <c r="V11" s="12">
        <f t="shared" ref="V11:V13" si="21">_xlfn.NORM.S.DIST(P11,FALSE)*C11*SQRT(J11)*N11</f>
        <v>7.294417974297807</v>
      </c>
      <c r="W11" s="13">
        <f t="shared" ref="W11:W13" si="22">(-C11*_xlfn.NORM.S.DIST(P11,FALSE)*H11/(2*SQRT(J11))-R11*O11*F11*EXP(-O11*J11)*_xlfn.NORM.S.DIST(Q11*R11,TRUE))/252</f>
        <v>-1.9611755296650945E-2</v>
      </c>
      <c r="X11" s="13">
        <v>5.4032</v>
      </c>
      <c r="Y11" s="6">
        <v>1000000</v>
      </c>
      <c r="Z11" s="3">
        <f t="shared" ref="Z11:Z13" si="23">Y11*U11*C11*1%*C11/X11</f>
        <v>145590.02085225488</v>
      </c>
      <c r="AA11" s="6">
        <f>Y11*T11</f>
        <v>672130.40820993669</v>
      </c>
      <c r="AC11" s="2" cm="1">
        <f t="array" ref="AC11:AF11">_xlfn.XLOOKUP(E11,$J$26:$J$35,$J$26:$M$35,"",-1)</f>
        <v>46112</v>
      </c>
      <c r="AD11">
        <v>88</v>
      </c>
      <c r="AE11">
        <v>0.34920634920634919</v>
      </c>
      <c r="AF11">
        <v>1.0492985135724895</v>
      </c>
      <c r="AG11" s="2" cm="1">
        <f t="array" ref="AG11:AJ11">_xlfn.XLOOKUP(E11,$J$26:$J$35,$J$26:$M$35,"",1)</f>
        <v>46142</v>
      </c>
      <c r="AH11">
        <v>108</v>
      </c>
      <c r="AI11">
        <v>0.42857142857142855</v>
      </c>
      <c r="AJ11" s="12">
        <v>1.060461050053632</v>
      </c>
      <c r="AK11" s="13">
        <f t="shared" ref="AK11:AK13" si="24">AJ11/AF11</f>
        <v>1.0106380942474968</v>
      </c>
      <c r="AL11" s="6">
        <v>11</v>
      </c>
      <c r="AM11">
        <f t="shared" ref="AM11:AM13" si="25">AK11^(AL11/(AH11-AD11))</f>
        <v>1.0058370187089534</v>
      </c>
      <c r="AN11">
        <f t="shared" ref="AN11:AN13" si="26">AM11*AF11</f>
        <v>1.055423288627489</v>
      </c>
      <c r="AO11" s="15">
        <f t="shared" ref="AO11:AO13" si="27">AN11^(252/(AD11+AL11))-1</f>
        <v>0.14717990560500693</v>
      </c>
    </row>
    <row r="12" spans="1:41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 t="shared" ref="E12:E13" si="28"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 t="shared" si="13"/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 t="shared" si="14"/>
        <v>0.94750496230696735</v>
      </c>
      <c r="N12" s="9">
        <f t="shared" si="15"/>
        <v>1</v>
      </c>
      <c r="O12" s="5">
        <f t="shared" si="16"/>
        <v>0.14008889075821601</v>
      </c>
      <c r="P12" s="7">
        <f t="shared" si="17"/>
        <v>-0.95737651974025684</v>
      </c>
      <c r="Q12" s="7">
        <f t="shared" si="18"/>
        <v>-1.1161419273165205</v>
      </c>
      <c r="R12">
        <f t="shared" si="12"/>
        <v>-1</v>
      </c>
      <c r="S12" s="10">
        <f t="shared" si="19"/>
        <v>6.2587451778959569</v>
      </c>
      <c r="T12" s="11">
        <f>(_xlfn.NORM.S.DIST(P12, TRUE)-IF(D12="P",1,0))*N12</f>
        <v>-0.83081137728197585</v>
      </c>
      <c r="U12" s="5">
        <f t="shared" si="20"/>
        <v>4.8817168629682439E-2</v>
      </c>
      <c r="V12" s="12">
        <f t="shared" si="21"/>
        <v>5.0946699260029131</v>
      </c>
      <c r="W12" s="13">
        <f t="shared" si="22"/>
        <v>1.1792429300642055E-2</v>
      </c>
      <c r="X12" s="13">
        <v>5.4032</v>
      </c>
      <c r="Y12" s="6">
        <v>1000000</v>
      </c>
      <c r="Z12" s="3">
        <f t="shared" si="23"/>
        <v>95724.593215261542</v>
      </c>
      <c r="AA12" s="6">
        <f>Y12*T12</f>
        <v>-830811.37728197582</v>
      </c>
      <c r="AC12" s="2" cm="1">
        <f t="array" ref="AC12:AF12">_xlfn.XLOOKUP(E12,$J$26:$J$35,$J$26:$M$35,"",-1)</f>
        <v>46112</v>
      </c>
      <c r="AD12">
        <v>88</v>
      </c>
      <c r="AE12">
        <v>0.34920634920634919</v>
      </c>
      <c r="AF12">
        <v>1.0492985135724895</v>
      </c>
      <c r="AG12" s="2" cm="1">
        <f t="array" ref="AG12:AJ12">_xlfn.XLOOKUP(E12,$J$26:$J$35,$J$26:$M$35,"",1)</f>
        <v>46142</v>
      </c>
      <c r="AH12">
        <v>108</v>
      </c>
      <c r="AI12">
        <v>0.42857142857142855</v>
      </c>
      <c r="AJ12" s="12">
        <v>1.060461050053632</v>
      </c>
      <c r="AK12" s="13">
        <f t="shared" si="24"/>
        <v>1.0106380942474968</v>
      </c>
      <c r="AL12" s="6">
        <v>11</v>
      </c>
      <c r="AM12">
        <f t="shared" si="25"/>
        <v>1.0058370187089534</v>
      </c>
      <c r="AN12">
        <f t="shared" si="26"/>
        <v>1.055423288627489</v>
      </c>
      <c r="AO12" s="15">
        <f t="shared" si="27"/>
        <v>0.14717990560500693</v>
      </c>
    </row>
    <row r="13" spans="1:41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 t="shared" si="28"/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 t="shared" si="13"/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 t="shared" si="14"/>
        <v>0.94750496230696735</v>
      </c>
      <c r="N13" s="9">
        <f t="shared" si="15"/>
        <v>0.9813949108225215</v>
      </c>
      <c r="O13" s="5">
        <f t="shared" si="16"/>
        <v>9.1298726588784296E-2</v>
      </c>
      <c r="P13" s="7">
        <f t="shared" si="17"/>
        <v>-1.075666399485997</v>
      </c>
      <c r="Q13" s="7">
        <f t="shared" si="18"/>
        <v>-1.2344318070622606</v>
      </c>
      <c r="R13">
        <f t="shared" si="12"/>
        <v>1</v>
      </c>
      <c r="S13" s="10">
        <f t="shared" si="19"/>
        <v>0.34100220759256172</v>
      </c>
      <c r="T13" s="11">
        <f>(_xlfn.NORM.S.DIST(P13, TRUE)-IF(D13="P",1,0))*N13</f>
        <v>0.13841421085583885</v>
      </c>
      <c r="U13" s="5">
        <f t="shared" si="20"/>
        <v>4.2481025821467039E-2</v>
      </c>
      <c r="V13" s="12">
        <f t="shared" si="21"/>
        <v>4.433415758299156</v>
      </c>
      <c r="W13" s="13">
        <f t="shared" si="22"/>
        <v>-7.4962034251280967E-3</v>
      </c>
      <c r="X13" s="13">
        <v>5.4032</v>
      </c>
      <c r="Y13" s="6">
        <v>1000000</v>
      </c>
      <c r="Z13" s="3">
        <f t="shared" si="23"/>
        <v>83300.17963504752</v>
      </c>
      <c r="AA13" s="6">
        <f>Y13*T13</f>
        <v>138414.21085583884</v>
      </c>
      <c r="AC13" s="2" cm="1">
        <f t="array" ref="AC13:AF13">_xlfn.XLOOKUP(E13,$J$26:$J$35,$J$26:$M$35,"",-1)</f>
        <v>46112</v>
      </c>
      <c r="AD13">
        <v>88</v>
      </c>
      <c r="AE13">
        <v>0.34920634920634919</v>
      </c>
      <c r="AF13">
        <v>1.0492985135724895</v>
      </c>
      <c r="AG13" s="2" cm="1">
        <f t="array" ref="AG13:AJ13">_xlfn.XLOOKUP(E13,$J$26:$J$35,$J$26:$M$35,"",1)</f>
        <v>46142</v>
      </c>
      <c r="AH13">
        <v>108</v>
      </c>
      <c r="AI13">
        <v>0.42857142857142855</v>
      </c>
      <c r="AJ13" s="12">
        <v>1.060461050053632</v>
      </c>
      <c r="AK13" s="13">
        <f t="shared" si="24"/>
        <v>1.0106380942474968</v>
      </c>
      <c r="AL13" s="6">
        <v>11</v>
      </c>
      <c r="AM13">
        <f t="shared" si="25"/>
        <v>1.0058370187089534</v>
      </c>
      <c r="AN13">
        <f t="shared" si="26"/>
        <v>1.055423288627489</v>
      </c>
      <c r="AO13" s="15">
        <f t="shared" si="27"/>
        <v>0.14717990560500693</v>
      </c>
    </row>
    <row r="15" spans="1:41" x14ac:dyDescent="0.25">
      <c r="S15" s="13"/>
      <c r="T15" s="13"/>
      <c r="U15" s="13"/>
      <c r="V15" s="13"/>
      <c r="W15" s="13"/>
      <c r="X15" s="8"/>
      <c r="Y15" s="12"/>
    </row>
    <row r="16" spans="1:41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27</v>
      </c>
      <c r="Y16" s="1" t="s">
        <v>28</v>
      </c>
      <c r="Z16" s="1" t="s">
        <v>29</v>
      </c>
      <c r="AA16" s="1" t="s">
        <v>30</v>
      </c>
      <c r="AB16" s="1" t="s">
        <v>58</v>
      </c>
      <c r="AC16" s="1" t="s">
        <v>59</v>
      </c>
    </row>
    <row r="17" spans="1:29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 t="shared" ref="R17:R20" si="29"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>
        <v>5.4032</v>
      </c>
      <c r="Y17" s="6">
        <v>1000000</v>
      </c>
      <c r="Z17" s="3">
        <f>Y17*U17*C17*1%*C17/X17</f>
        <v>149059.42139569996</v>
      </c>
      <c r="AA17" s="6">
        <f>Y17*T17</f>
        <v>-366845.6395588388</v>
      </c>
      <c r="AB17" s="5" cm="1">
        <f t="array" ref="AB17">BRISTO.OPT_IVOL(S17,C17,D17,F17,J17,N17,M17)</f>
        <v>0.24090290069580078</v>
      </c>
      <c r="AC17" s="5">
        <f>AB17-H17</f>
        <v>2.9006958007782302E-6</v>
      </c>
    </row>
    <row r="18" spans="1:29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 t="shared" ref="J18:J20" si="30"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 t="shared" ref="M18:M20" si="31">1/((1+K18)^(L18/252))</f>
        <v>0.94698901788845258</v>
      </c>
      <c r="N18" s="9">
        <f t="shared" ref="N18:N20" si="32">1/((1+G18)^J18)</f>
        <v>1</v>
      </c>
      <c r="O18" s="5">
        <f t="shared" ref="O18:O20" si="33">LN(N18/M18)/J18</f>
        <v>0.14006001240514271</v>
      </c>
      <c r="P18" s="7">
        <f t="shared" ref="P18:P20" si="34">(LN(C18/F18) + (O18 + (H18^2)/2)*J18) / (H18*SQRT(J18))</f>
        <v>0.44791532627007996</v>
      </c>
      <c r="Q18" s="7">
        <f t="shared" ref="Q18:Q20" si="35">P18-H18*SQRT(J18)</f>
        <v>0.29768778219110625</v>
      </c>
      <c r="R18">
        <f t="shared" si="29"/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>
        <v>5.4032</v>
      </c>
      <c r="Y18" s="6">
        <v>1000000</v>
      </c>
      <c r="Z18" s="3">
        <f t="shared" ref="Z18:Z20" si="36">Y18*U18*C18*1%*C18/X18</f>
        <v>144708.68633911823</v>
      </c>
      <c r="AA18" s="6">
        <f>Y18*T18</f>
        <v>672892.84652870335</v>
      </c>
      <c r="AB18" s="5" cm="1">
        <f t="array" ref="AB18">BRISTO.OPT_IVOL(S18,C18,D18,F18,J18,N18,M18)</f>
        <v>0.24090290069580078</v>
      </c>
      <c r="AC18" s="5">
        <f t="shared" ref="AC18:AC20" si="37">AB18-H18</f>
        <v>2.9006958007782302E-6</v>
      </c>
    </row>
    <row r="19" spans="1:29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 t="shared" si="30"/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 t="shared" si="31"/>
        <v>0.94698901788845258</v>
      </c>
      <c r="N19" s="9">
        <f t="shared" si="32"/>
        <v>1</v>
      </c>
      <c r="O19" s="5">
        <f t="shared" si="33"/>
        <v>0.14006001240514271</v>
      </c>
      <c r="P19" s="7">
        <f t="shared" si="34"/>
        <v>-0.94825206878691815</v>
      </c>
      <c r="Q19" s="7">
        <f t="shared" si="35"/>
        <v>-1.1078337563328267</v>
      </c>
      <c r="R19">
        <f t="shared" si="29"/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>
        <v>5.4032</v>
      </c>
      <c r="Y19" s="6">
        <v>1000000</v>
      </c>
      <c r="Z19" s="3">
        <f t="shared" si="36"/>
        <v>96066.523542326235</v>
      </c>
      <c r="AA19" s="6">
        <f>Y19*T19</f>
        <v>-828499.427255744</v>
      </c>
      <c r="AB19" s="5" cm="1">
        <f t="array" ref="AB19">BRISTO.OPT_IVOL(S19,C19,D19,F19,J19,N19,M19)</f>
        <v>0.25590419769287109</v>
      </c>
      <c r="AC19" s="5">
        <f t="shared" si="37"/>
        <v>4.1976928710774075E-6</v>
      </c>
    </row>
    <row r="20" spans="1:29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 t="shared" si="30"/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 t="shared" si="31"/>
        <v>0.94698901788845258</v>
      </c>
      <c r="N20" s="9">
        <f t="shared" si="32"/>
        <v>0.98120491961691236</v>
      </c>
      <c r="O20" s="5">
        <f t="shared" si="33"/>
        <v>9.1269848235710271E-2</v>
      </c>
      <c r="P20" s="7">
        <f t="shared" si="34"/>
        <v>-1.0671501267304313</v>
      </c>
      <c r="Q20" s="7">
        <f t="shared" si="35"/>
        <v>-1.2267318142763399</v>
      </c>
      <c r="R20">
        <f t="shared" si="29"/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>
        <v>5.4032</v>
      </c>
      <c r="Y20" s="6">
        <v>1000000</v>
      </c>
      <c r="Z20" s="3">
        <f t="shared" si="36"/>
        <v>83617.535159574123</v>
      </c>
      <c r="AA20" s="6">
        <f>Y20*T20</f>
        <v>140265.22989850663</v>
      </c>
      <c r="AB20" s="5" cm="1">
        <f t="array" ref="AB20">BRISTO.OPT_IVOL(S20,C20,D20,F20,J20,N20,M20)</f>
        <v>0.25590419769287109</v>
      </c>
      <c r="AC20" s="5">
        <f t="shared" si="37"/>
        <v>4.1976928710774075E-6</v>
      </c>
    </row>
    <row r="21" spans="1:29" x14ac:dyDescent="0.25">
      <c r="S21" s="13"/>
      <c r="T21" s="13"/>
      <c r="U21" s="13"/>
      <c r="V21" s="13"/>
      <c r="W21" s="13"/>
      <c r="X21" s="8"/>
      <c r="Y21" s="12"/>
    </row>
    <row r="22" spans="1:29" x14ac:dyDescent="0.25">
      <c r="S22" s="13">
        <f t="shared" ref="S22:AA22" si="38">S3-S17</f>
        <v>1.7763568394002505E-15</v>
      </c>
      <c r="T22" s="13">
        <f t="shared" si="38"/>
        <v>0</v>
      </c>
      <c r="U22" s="13">
        <f t="shared" si="38"/>
        <v>0</v>
      </c>
      <c r="V22" s="13">
        <f t="shared" si="38"/>
        <v>0</v>
      </c>
      <c r="W22" s="13">
        <f t="shared" si="38"/>
        <v>0</v>
      </c>
      <c r="X22" s="13">
        <f t="shared" si="38"/>
        <v>0</v>
      </c>
      <c r="Y22" s="13">
        <f t="shared" si="38"/>
        <v>0</v>
      </c>
      <c r="Z22" s="13">
        <f t="shared" si="38"/>
        <v>0</v>
      </c>
      <c r="AA22" s="13">
        <f t="shared" si="38"/>
        <v>0</v>
      </c>
    </row>
    <row r="23" spans="1:29" x14ac:dyDescent="0.25">
      <c r="S23" s="13">
        <f t="shared" ref="S23:AA23" si="39">S4-S18</f>
        <v>0</v>
      </c>
      <c r="T23" s="13">
        <f t="shared" si="39"/>
        <v>0</v>
      </c>
      <c r="U23" s="13">
        <f t="shared" si="39"/>
        <v>0</v>
      </c>
      <c r="V23" s="13">
        <f t="shared" si="39"/>
        <v>0</v>
      </c>
      <c r="W23" s="13">
        <f t="shared" si="39"/>
        <v>0</v>
      </c>
      <c r="X23" s="13">
        <f t="shared" si="39"/>
        <v>0</v>
      </c>
      <c r="Y23" s="13">
        <f t="shared" si="39"/>
        <v>0</v>
      </c>
      <c r="Z23" s="13">
        <f t="shared" si="39"/>
        <v>0</v>
      </c>
      <c r="AA23" s="13">
        <f t="shared" si="39"/>
        <v>0</v>
      </c>
    </row>
    <row r="24" spans="1:29" x14ac:dyDescent="0.25">
      <c r="S24" s="13">
        <f t="shared" ref="S24:AA24" si="40">S5-S19</f>
        <v>0</v>
      </c>
      <c r="T24" s="13">
        <f t="shared" si="40"/>
        <v>0</v>
      </c>
      <c r="U24" s="13">
        <f t="shared" si="40"/>
        <v>0</v>
      </c>
      <c r="V24" s="13">
        <f t="shared" si="40"/>
        <v>0</v>
      </c>
      <c r="W24" s="13">
        <f t="shared" si="40"/>
        <v>0</v>
      </c>
      <c r="X24" s="13">
        <f t="shared" si="40"/>
        <v>0</v>
      </c>
      <c r="Y24" s="13">
        <f t="shared" si="40"/>
        <v>0</v>
      </c>
      <c r="Z24" s="13">
        <f t="shared" si="40"/>
        <v>0</v>
      </c>
      <c r="AA24" s="13">
        <f t="shared" si="40"/>
        <v>0</v>
      </c>
    </row>
    <row r="25" spans="1:29" x14ac:dyDescent="0.25">
      <c r="F25" s="14" t="s">
        <v>5</v>
      </c>
      <c r="G25" s="14" t="s">
        <v>41</v>
      </c>
      <c r="H25" s="14" t="s">
        <v>42</v>
      </c>
      <c r="I25" s="14" t="s">
        <v>43</v>
      </c>
      <c r="J25" s="14" t="s">
        <v>35</v>
      </c>
      <c r="K25" s="14" t="s">
        <v>36</v>
      </c>
      <c r="L25" s="14" t="s">
        <v>13</v>
      </c>
      <c r="M25" s="14" t="s">
        <v>44</v>
      </c>
      <c r="S25" s="13">
        <f t="shared" ref="S25:AA25" si="41">S6-S20</f>
        <v>0</v>
      </c>
      <c r="T25" s="13">
        <f t="shared" si="41"/>
        <v>0</v>
      </c>
      <c r="U25" s="13">
        <f t="shared" si="41"/>
        <v>0</v>
      </c>
      <c r="V25" s="13">
        <f t="shared" si="41"/>
        <v>0</v>
      </c>
      <c r="W25" s="13">
        <f t="shared" si="41"/>
        <v>0</v>
      </c>
      <c r="X25" s="13">
        <f t="shared" si="41"/>
        <v>0</v>
      </c>
      <c r="Y25" s="13">
        <f t="shared" si="41"/>
        <v>0</v>
      </c>
      <c r="Z25" s="13">
        <f t="shared" si="41"/>
        <v>0</v>
      </c>
      <c r="AA25" s="13">
        <f t="shared" si="41"/>
        <v>0</v>
      </c>
    </row>
    <row r="26" spans="1:29" x14ac:dyDescent="0.25">
      <c r="B26" t="s">
        <v>45</v>
      </c>
      <c r="C26">
        <v>1</v>
      </c>
      <c r="E26">
        <v>1</v>
      </c>
      <c r="F26" s="2">
        <v>45982</v>
      </c>
      <c r="G26" s="2">
        <f>EOMONTH(F26,E26-1)+1</f>
        <v>45992</v>
      </c>
      <c r="H26" t="str">
        <f>"DI1"&amp;_xlfn.XLOOKUP(MONTH(G26),$C$26:$C$37,$B$26:$B$37,"",0)&amp;YEAR(G26)</f>
        <v>DI1Z2025</v>
      </c>
      <c r="I26" s="3">
        <v>14.9</v>
      </c>
      <c r="J26" s="2">
        <v>45989</v>
      </c>
      <c r="K26" s="6" cm="1">
        <f t="array" ref="K26">BRISTO.BDAYS(F26,J26,holiday_br[])</f>
        <v>5</v>
      </c>
      <c r="L26">
        <f>K26/252</f>
        <v>1.984126984126984E-2</v>
      </c>
      <c r="M26">
        <f>(1+I26/100)^L26</f>
        <v>1.0027595943180705</v>
      </c>
      <c r="T26" s="13"/>
      <c r="U26" s="13"/>
      <c r="V26" s="13"/>
      <c r="W26" s="13"/>
    </row>
    <row r="27" spans="1:29" x14ac:dyDescent="0.25">
      <c r="B27" t="s">
        <v>46</v>
      </c>
      <c r="C27">
        <f>C26+1</f>
        <v>2</v>
      </c>
      <c r="E27">
        <f>E26+1</f>
        <v>2</v>
      </c>
      <c r="F27" s="2">
        <v>45982</v>
      </c>
      <c r="G27" s="2">
        <f t="shared" ref="G27:G35" si="42">EOMONTH(F27,E27-1)+1</f>
        <v>46023</v>
      </c>
      <c r="H27" t="str">
        <f t="shared" ref="H27:H35" si="43">"DI1"&amp;_xlfn.XLOOKUP(MONTH(G27),$C$26:$C$37,$B$26:$B$37,"",0)&amp;YEAR(G27)</f>
        <v>DI1F2026</v>
      </c>
      <c r="I27">
        <v>14.895</v>
      </c>
      <c r="J27" s="2">
        <v>46022</v>
      </c>
      <c r="K27" s="6" cm="1">
        <f t="array" ref="K27">BRISTO.BDAYS(F27,J27,holiday_br[])</f>
        <v>27</v>
      </c>
      <c r="L27">
        <f t="shared" ref="L27:L35" si="44">K27/252</f>
        <v>0.10714285714285714</v>
      </c>
      <c r="M27">
        <f t="shared" ref="M27:M35" si="45">(1+I27/100)^L27</f>
        <v>1.0149878307895897</v>
      </c>
      <c r="T27" s="13"/>
      <c r="U27" s="13"/>
      <c r="V27" s="13"/>
      <c r="W27" s="13"/>
    </row>
    <row r="28" spans="1:29" x14ac:dyDescent="0.25">
      <c r="B28" t="s">
        <v>47</v>
      </c>
      <c r="C28">
        <f t="shared" ref="C28:C37" si="46">C27+1</f>
        <v>3</v>
      </c>
      <c r="E28">
        <f t="shared" ref="E28:E35" si="47">E27+1</f>
        <v>3</v>
      </c>
      <c r="F28" s="2">
        <v>45982</v>
      </c>
      <c r="G28" s="2">
        <f t="shared" si="42"/>
        <v>46054</v>
      </c>
      <c r="H28" t="str">
        <f t="shared" si="43"/>
        <v>DI1G2026</v>
      </c>
      <c r="I28">
        <v>14.894</v>
      </c>
      <c r="J28" s="2">
        <v>46052</v>
      </c>
      <c r="K28" s="6" cm="1">
        <f t="array" ref="K28">BRISTO.BDAYS(F28,J28,holiday_br[])</f>
        <v>48</v>
      </c>
      <c r="L28">
        <f t="shared" si="44"/>
        <v>0.19047619047619047</v>
      </c>
      <c r="M28">
        <f t="shared" si="45"/>
        <v>1.0267984618751003</v>
      </c>
      <c r="T28" s="13"/>
      <c r="U28" s="13"/>
      <c r="V28" s="13"/>
      <c r="W28" s="13"/>
    </row>
    <row r="29" spans="1:29" x14ac:dyDescent="0.25">
      <c r="B29" t="s">
        <v>48</v>
      </c>
      <c r="C29">
        <f t="shared" si="46"/>
        <v>4</v>
      </c>
      <c r="E29">
        <f t="shared" si="47"/>
        <v>4</v>
      </c>
      <c r="F29" s="2">
        <v>45982</v>
      </c>
      <c r="G29" s="2">
        <f t="shared" si="42"/>
        <v>46082</v>
      </c>
      <c r="H29" t="str">
        <f t="shared" si="43"/>
        <v>DI1H2026</v>
      </c>
      <c r="I29">
        <v>14.845000000000001</v>
      </c>
      <c r="J29" s="2">
        <v>46080</v>
      </c>
      <c r="K29" s="6" cm="1">
        <f t="array" ref="K29">BRISTO.BDAYS(F29,J29,holiday_br[])</f>
        <v>66</v>
      </c>
      <c r="L29">
        <f t="shared" si="44"/>
        <v>0.26190476190476192</v>
      </c>
      <c r="M29">
        <f t="shared" si="45"/>
        <v>1.0369161607121695</v>
      </c>
      <c r="T29" s="13"/>
      <c r="U29" s="13"/>
      <c r="V29" s="13"/>
      <c r="W29" s="13"/>
    </row>
    <row r="30" spans="1:29" x14ac:dyDescent="0.25">
      <c r="B30" t="s">
        <v>49</v>
      </c>
      <c r="C30">
        <f t="shared" si="46"/>
        <v>5</v>
      </c>
      <c r="E30">
        <f t="shared" si="47"/>
        <v>5</v>
      </c>
      <c r="F30" s="2">
        <v>45982</v>
      </c>
      <c r="G30" s="2">
        <f t="shared" si="42"/>
        <v>46113</v>
      </c>
      <c r="H30" t="str">
        <f t="shared" si="43"/>
        <v>DI1J2026</v>
      </c>
      <c r="I30">
        <v>14.775</v>
      </c>
      <c r="J30" s="2">
        <v>46112</v>
      </c>
      <c r="K30" s="6" cm="1">
        <f t="array" ref="K30">BRISTO.BDAYS(F30,J30,holiday_br[])</f>
        <v>88</v>
      </c>
      <c r="L30">
        <f t="shared" si="44"/>
        <v>0.34920634920634919</v>
      </c>
      <c r="M30">
        <f t="shared" si="45"/>
        <v>1.0492985135724895</v>
      </c>
      <c r="S30" s="5"/>
    </row>
    <row r="31" spans="1:29" x14ac:dyDescent="0.25">
      <c r="B31" t="s">
        <v>50</v>
      </c>
      <c r="C31">
        <f t="shared" si="46"/>
        <v>6</v>
      </c>
      <c r="E31">
        <f t="shared" si="47"/>
        <v>6</v>
      </c>
      <c r="F31" s="2">
        <v>45982</v>
      </c>
      <c r="G31" s="2">
        <f t="shared" si="42"/>
        <v>46143</v>
      </c>
      <c r="H31" t="str">
        <f t="shared" si="43"/>
        <v>DI1K2026</v>
      </c>
      <c r="I31">
        <v>14.68</v>
      </c>
      <c r="J31" s="2">
        <v>46142</v>
      </c>
      <c r="K31" s="6" cm="1">
        <f t="array" ref="K31">BRISTO.BDAYS(F31,J31,holiday_br[])</f>
        <v>108</v>
      </c>
      <c r="L31">
        <f t="shared" si="44"/>
        <v>0.42857142857142855</v>
      </c>
      <c r="M31">
        <f t="shared" si="45"/>
        <v>1.060461050053632</v>
      </c>
    </row>
    <row r="32" spans="1:29" x14ac:dyDescent="0.25">
      <c r="B32" t="s">
        <v>51</v>
      </c>
      <c r="C32">
        <f t="shared" si="46"/>
        <v>7</v>
      </c>
      <c r="E32">
        <f t="shared" si="47"/>
        <v>7</v>
      </c>
      <c r="F32" s="2">
        <v>45982</v>
      </c>
      <c r="G32" s="2">
        <f t="shared" si="42"/>
        <v>46174</v>
      </c>
      <c r="H32" t="str">
        <f t="shared" si="43"/>
        <v>DI1M2026</v>
      </c>
      <c r="I32">
        <v>14.54</v>
      </c>
      <c r="J32" s="2">
        <v>46171</v>
      </c>
      <c r="K32" s="6" cm="1">
        <f t="array" ref="K32">BRISTO.BDAYS(F32,J32,holiday_br[])</f>
        <v>128</v>
      </c>
      <c r="L32">
        <f t="shared" si="44"/>
        <v>0.50793650793650791</v>
      </c>
      <c r="M32">
        <f t="shared" si="45"/>
        <v>1.0713873233723397</v>
      </c>
    </row>
    <row r="33" spans="2:19" x14ac:dyDescent="0.25">
      <c r="B33" t="s">
        <v>52</v>
      </c>
      <c r="C33">
        <f t="shared" si="46"/>
        <v>8</v>
      </c>
      <c r="E33">
        <f t="shared" si="47"/>
        <v>8</v>
      </c>
      <c r="F33" s="2">
        <v>45982</v>
      </c>
      <c r="G33" s="2">
        <f t="shared" si="42"/>
        <v>46204</v>
      </c>
      <c r="H33" t="str">
        <f t="shared" si="43"/>
        <v>DI1N2026</v>
      </c>
      <c r="I33">
        <v>14.414999999999999</v>
      </c>
      <c r="J33" s="2">
        <v>46203</v>
      </c>
      <c r="K33" s="6" cm="1">
        <f t="array" ref="K33">BRISTO.BDAYS(F33,J33,holiday_br[])</f>
        <v>149</v>
      </c>
      <c r="L33">
        <f t="shared" si="44"/>
        <v>0.59126984126984128</v>
      </c>
      <c r="M33">
        <f t="shared" si="45"/>
        <v>1.0828772091264154</v>
      </c>
      <c r="S33" s="5"/>
    </row>
    <row r="34" spans="2:19" x14ac:dyDescent="0.25">
      <c r="B34" t="s">
        <v>53</v>
      </c>
      <c r="C34">
        <f t="shared" si="46"/>
        <v>9</v>
      </c>
      <c r="E34">
        <f t="shared" si="47"/>
        <v>9</v>
      </c>
      <c r="F34" s="2">
        <v>45982</v>
      </c>
      <c r="G34" s="2">
        <f t="shared" si="42"/>
        <v>46235</v>
      </c>
      <c r="H34" t="str">
        <f t="shared" si="43"/>
        <v>DI1Q2026</v>
      </c>
      <c r="I34">
        <v>14.28</v>
      </c>
      <c r="J34" s="2">
        <v>46234</v>
      </c>
      <c r="K34" s="6" cm="1">
        <f t="array" ref="K34">BRISTO.BDAYS(F34,J34,holiday_br[])</f>
        <v>172</v>
      </c>
      <c r="L34">
        <f t="shared" si="44"/>
        <v>0.68253968253968256</v>
      </c>
      <c r="M34">
        <f t="shared" si="45"/>
        <v>1.0953854894705597</v>
      </c>
    </row>
    <row r="35" spans="2:19" x14ac:dyDescent="0.25">
      <c r="B35" t="s">
        <v>54</v>
      </c>
      <c r="C35">
        <f t="shared" si="46"/>
        <v>10</v>
      </c>
      <c r="E35">
        <f t="shared" si="47"/>
        <v>10</v>
      </c>
      <c r="F35" s="2">
        <v>45982</v>
      </c>
      <c r="G35" s="2">
        <f t="shared" si="42"/>
        <v>46266</v>
      </c>
      <c r="H35" t="str">
        <f t="shared" si="43"/>
        <v>DI1U2026</v>
      </c>
      <c r="I35">
        <v>14.14</v>
      </c>
      <c r="J35" s="2">
        <v>46265</v>
      </c>
      <c r="K35" s="6" cm="1">
        <f t="array" ref="K35">BRISTO.BDAYS(F35,J35,holiday_br[])</f>
        <v>193</v>
      </c>
      <c r="L35">
        <f t="shared" si="44"/>
        <v>0.76587301587301593</v>
      </c>
      <c r="M35">
        <f t="shared" si="45"/>
        <v>1.1065985921458159</v>
      </c>
    </row>
    <row r="36" spans="2:19" x14ac:dyDescent="0.25">
      <c r="B36" t="s">
        <v>55</v>
      </c>
      <c r="C36">
        <f t="shared" si="46"/>
        <v>11</v>
      </c>
    </row>
    <row r="37" spans="2:19" x14ac:dyDescent="0.25">
      <c r="B37" t="s">
        <v>56</v>
      </c>
      <c r="C37">
        <f t="shared" si="46"/>
        <v>12</v>
      </c>
      <c r="O37" s="16"/>
      <c r="P37" s="16"/>
      <c r="Q37" s="16"/>
      <c r="R37" s="16"/>
      <c r="S37" s="16"/>
    </row>
    <row r="38" spans="2:19" x14ac:dyDescent="0.25">
      <c r="O38" s="16"/>
      <c r="P38" s="16"/>
      <c r="Q38" s="16"/>
      <c r="R38" s="16"/>
      <c r="S38" s="16"/>
    </row>
    <row r="39" spans="2:19" x14ac:dyDescent="0.25">
      <c r="O39" s="16"/>
      <c r="P39" s="16"/>
      <c r="Q39" s="16"/>
      <c r="R39" s="16"/>
      <c r="S39" s="16"/>
    </row>
    <row r="40" spans="2:19" x14ac:dyDescent="0.25">
      <c r="O40" s="16"/>
      <c r="P40" s="16"/>
      <c r="Q40" s="16"/>
      <c r="R40" s="16"/>
      <c r="S40" s="16"/>
    </row>
  </sheetData>
  <mergeCells count="2">
    <mergeCell ref="AC8:AF8"/>
    <mergeCell ref="AG8:AJ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 t="shared" ref="R6:R9" si="0"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 t="shared" ref="J7:J9" si="1"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 t="shared" ref="M7:M9" si="2">1/((1+K7)^(L7/252))</f>
        <v>0.85855048760221409</v>
      </c>
      <c r="N7" s="9">
        <f t="shared" ref="N7:N9" si="3">1/((1+G7)^J7)</f>
        <v>1</v>
      </c>
      <c r="O7" s="5">
        <f t="shared" ref="O7:O9" si="4">LN(N7/M7)/J7</f>
        <v>0.13924807030424352</v>
      </c>
      <c r="P7" s="12">
        <f t="shared" ref="P7:P9" si="5">(LN(C7/F7) + (O7 + (H7^2)/2)*J7) / (H7*SQRT(J7))</f>
        <v>1.616089319151621</v>
      </c>
      <c r="Q7" s="12">
        <f t="shared" ref="Q7:Q9" si="6">P7-H7*SQRT(J7)</f>
        <v>1.3639787396716747</v>
      </c>
      <c r="R7">
        <f t="shared" si="0"/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 t="shared" ref="Z7:Z9" si="7">Y7*S7</f>
        <v>-143724417.00441197</v>
      </c>
      <c r="AA7" s="3">
        <f t="shared" ref="AA7:AA9" si="8"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 t="shared" ref="AD7:AD9" si="9"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 t="shared" si="1"/>
        <v>1.0952380952380953</v>
      </c>
      <c r="K8" s="8">
        <v>0.14712500000000001</v>
      </c>
      <c r="L8" s="6" cm="1">
        <f t="array" ref="L8">BRISTO.BDAYS(B8,E8,holiday_br[])</f>
        <v>280</v>
      </c>
      <c r="M8" s="9">
        <f t="shared" si="2"/>
        <v>0.85855048760221409</v>
      </c>
      <c r="N8" s="9">
        <f t="shared" si="3"/>
        <v>1</v>
      </c>
      <c r="O8" s="5">
        <f t="shared" si="4"/>
        <v>0.13924807030424352</v>
      </c>
      <c r="P8" s="12">
        <f t="shared" si="5"/>
        <v>2.258688950650108E-2</v>
      </c>
      <c r="Q8" s="12">
        <f t="shared" si="6"/>
        <v>-0.2452217335276137</v>
      </c>
      <c r="R8">
        <f t="shared" si="0"/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 t="shared" si="7"/>
        <v>-55768043.479635417</v>
      </c>
      <c r="AA8" s="3">
        <f t="shared" si="8"/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 t="shared" si="9"/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 t="shared" si="1"/>
        <v>1.0952380952380953</v>
      </c>
      <c r="K9" s="8">
        <v>0.14712500000000001</v>
      </c>
      <c r="L9" s="6" cm="1">
        <f t="array" ref="L9">BRISTO.BDAYS(B9,E9,holiday_br[])</f>
        <v>280</v>
      </c>
      <c r="M9" s="9">
        <f t="shared" si="2"/>
        <v>0.85855048760221409</v>
      </c>
      <c r="N9" s="9">
        <f t="shared" si="3"/>
        <v>1</v>
      </c>
      <c r="O9" s="5">
        <f t="shared" si="4"/>
        <v>0.13924807030424352</v>
      </c>
      <c r="P9" s="12">
        <f t="shared" si="5"/>
        <v>2.258688950650108E-2</v>
      </c>
      <c r="Q9" s="12">
        <f t="shared" si="6"/>
        <v>-0.2452217335276137</v>
      </c>
      <c r="R9">
        <f t="shared" si="0"/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 t="shared" si="7"/>
        <v>42150780.174439773</v>
      </c>
      <c r="AA9" s="3">
        <f t="shared" si="8"/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 t="shared" si="9"/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 t="shared" ref="D14:D16" si="10">MAX(0,(F7-C14)*R7)</f>
        <v>50</v>
      </c>
      <c r="E14" s="6">
        <f t="shared" ref="E14:E16" si="11"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 t="shared" si="10"/>
        <v>0</v>
      </c>
      <c r="E15" s="6">
        <f t="shared" si="11"/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 t="shared" si="10"/>
        <v>90</v>
      </c>
      <c r="E16" s="6">
        <f t="shared" si="11"/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 t="shared" ref="R26:R29" si="12"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 t="shared" ref="J27:J29" si="13"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 t="shared" ref="M27:M29" si="14">1/(((1+K27)^(L27/252))*((1+$M$23)^(L27/252)))</f>
        <v>0.85291468158911843</v>
      </c>
      <c r="N27" s="9">
        <f t="shared" ref="N27:N29" si="15">1/((1+G27)^J27)</f>
        <v>1</v>
      </c>
      <c r="O27" s="5">
        <f t="shared" ref="O27:O29" si="16">LN(N27/M27)/J27</f>
        <v>0.14526134433083895</v>
      </c>
      <c r="P27" s="12">
        <f t="shared" ref="P27:P29" si="17">(LN(C27/F27) + (O27 + (H27^2)/2)*J27) / (H27*SQRT(J27))</f>
        <v>1.6422126448947083</v>
      </c>
      <c r="Q27" s="12">
        <f t="shared" ref="Q27:Q29" si="18">P27-H27*SQRT(J27)</f>
        <v>1.390102065414762</v>
      </c>
      <c r="R27">
        <f t="shared" si="12"/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 t="shared" ref="Z27:Z29" si="19">Y27*S27</f>
        <v>-145582356.64301029</v>
      </c>
      <c r="AA27" s="3">
        <f t="shared" ref="AA27:AA29" si="20"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 t="shared" ref="AD27:AD29" si="21"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 t="shared" si="13"/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 t="shared" si="14"/>
        <v>0.85291468158911843</v>
      </c>
      <c r="N28" s="9">
        <f t="shared" si="15"/>
        <v>1</v>
      </c>
      <c r="O28" s="5">
        <f t="shared" si="16"/>
        <v>0.14526134433083895</v>
      </c>
      <c r="P28" s="12">
        <f t="shared" si="17"/>
        <v>4.717895348270152E-2</v>
      </c>
      <c r="Q28" s="12">
        <f t="shared" si="18"/>
        <v>-0.22062966955141328</v>
      </c>
      <c r="R28">
        <f t="shared" si="12"/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 t="shared" si="19"/>
        <v>-53966104.731545962</v>
      </c>
      <c r="AA28" s="3">
        <f t="shared" si="20"/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 t="shared" si="21"/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 t="shared" si="13"/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 t="shared" si="14"/>
        <v>0.85291468158911843</v>
      </c>
      <c r="N29" s="9">
        <f t="shared" si="15"/>
        <v>1</v>
      </c>
      <c r="O29" s="5">
        <f t="shared" si="16"/>
        <v>0.14526134433083895</v>
      </c>
      <c r="P29" s="12">
        <f t="shared" si="17"/>
        <v>4.717895348270152E-2</v>
      </c>
      <c r="Q29" s="12">
        <f t="shared" si="18"/>
        <v>-0.22062966955141328</v>
      </c>
      <c r="R29">
        <f t="shared" si="12"/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 t="shared" si="19"/>
        <v>43392176.673422024</v>
      </c>
      <c r="AA29" s="3">
        <f t="shared" si="20"/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 t="shared" si="21"/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bristo.lambdas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2026-01-20T11:31:48Z</dcterms:modified>
</cp:coreProperties>
</file>