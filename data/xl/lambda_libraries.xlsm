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4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1AE2D901-C977-4C34-98A2-9640C1D335F1}" xr6:coauthVersionLast="47" xr6:coauthVersionMax="47" xr10:uidLastSave="{00000000-0000-0000-0000-000000000000}"/>
  <bookViews>
    <workbookView xWindow="-120" yWindow="-120" windowWidth="29040" windowHeight="15720" xr2:uid="{DE452286-8C54-42EA-9FBD-687FCC5FC56A}"/>
  </bookViews>
  <sheets>
    <sheet name="bristo.lambdas" sheetId="1" r:id="rId1"/>
    <sheet name="ch1" sheetId="8" r:id="rId2"/>
    <sheet name="ch2" sheetId="9" r:id="rId3"/>
    <sheet name="ch3" sheetId="10" r:id="rId4"/>
    <sheet name="tables" sheetId="7" r:id="rId5"/>
    <sheet name="options" sheetId="3" r:id="rId6"/>
    <sheet name="box" sheetId="5" r:id="rId7"/>
  </sheets>
  <definedNames>
    <definedName name="_xleta.DELTA" hidden="1" xlm="1">#NAME?</definedName>
    <definedName name="_xleta.DISC" hidden="1" xlm="1">#NAME?</definedName>
    <definedName name="_xleta.FV" hidden="1" xlm="1">#NAME?</definedName>
    <definedName name="_xleta.GAMMA" hidden="1" xlm="1">#NAME?</definedName>
    <definedName name="_xleta.LN" hidden="1" xlm="1">#NAME?</definedName>
    <definedName name="_xleta.N" hidden="1" xlm="1">#NAME?</definedName>
    <definedName name="_xleta.SECOND" hidden="1" xlm="1">#NAME?</definedName>
    <definedName name="_xleta.T" hidden="1" xlm="1">#NAME?</definedName>
    <definedName name="_xleta.VALUE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f" hidden="1" xlm="1">#NAME?</definedName>
    <definedName name="_xlpm._disc" hidden="1" xlm="1">#NAME?</definedName>
    <definedName name="_xlpm._end" hidden="1" xlm="1">#NAME?</definedName>
    <definedName name="_xlpm._exp_q_tau" hidden="1" xlm="1">#NAME?</definedName>
    <definedName name="_xlpm._exp_r_tau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" hidden="1" xlm="1">#NAME?</definedName>
    <definedName name="_xlpm.chars" hidden="1" xlm="1">#NAME?</definedName>
    <definedName name="_xlpm.clean_nw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t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o" hidden="1" xlm="1">#NAME?</definedName>
    <definedName name="_xlpm.for" hidden="1" xlm="1">#NAME?</definedName>
    <definedName name="_xlpm.forw" hidden="1" xlm="1">#NAME?</definedName>
    <definedName name="_xlpm.forwa" hidden="1" xlm="1">#NAME?</definedName>
    <definedName name="_xlpm.forwar" hidden="1" xlm="1">#NAME?</definedName>
    <definedName name="_xlpm.forward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uture_value" hidden="1" xlm="1">#NAME?</definedName>
    <definedName name="_xlpm.fv" hidden="1" xlm="1">#NAME?</definedName>
    <definedName name="_xlpm.fw" hidden="1" xlm="1">#NAME?</definedName>
    <definedName name="_xlpm.fwd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w" hidden="1" xlm="1">#NAME?</definedName>
    <definedName name="_xlpm.new_row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o" hidden="1" xlm="1">#NAME?</definedName>
    <definedName name="_xlpm.offsets" hidden="1" xlm="1">#NAME?</definedName>
    <definedName name="_xlpm.ones" hidden="1" xlm="1">#NAME?</definedName>
    <definedName name="_xlpm.op" hidden="1" xlm="1">#NAME?</definedName>
    <definedName name="_xlpm.op_" hidden="1" xlm="1">#NAME?</definedName>
    <definedName name="_xlpm.op_t" hidden="1" xlm="1">#NAME?</definedName>
    <definedName name="_xlpm.op_ty" hidden="1" xlm="1">#NAME?</definedName>
    <definedName name="_xlpm.op_typ" hidden="1" xlm="1">#NAME?</definedName>
    <definedName name="_xlpm.op_type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a" hidden="1" xlm="1">#NAME?</definedName>
    <definedName name="_xlpm.pay" hidden="1" xlm="1">#NAME?</definedName>
    <definedName name="_xlpm.payo" hidden="1" xlm="1">#NAME?</definedName>
    <definedName name="_xlpm.payof" hidden="1" xlm="1">#NAME?</definedName>
    <definedName name="_xlpm.payoff" hidden="1" xlm="1">#NAME?</definedName>
    <definedName name="_xlpm.payoffs" hidden="1" xlm="1">#NAME?</definedName>
    <definedName name="_xlpm.pi" hidden="1" xlm="1">#NAME?</definedName>
    <definedName name="_xlpm.pi_val" hidden="1" xlm="1">#NAME?</definedName>
    <definedName name="_xlpm.precos_finais" hidden="1" xlm="1">#NAME?</definedName>
    <definedName name="_xlpm.price" hidden="1" xlm="1">#NAME?</definedName>
    <definedName name="_xlpm.probs" hidden="1" xlm="1">#NAME?</definedName>
    <definedName name="_xlpm.pv" hidden="1" xlm="1">#NAME?</definedName>
    <definedName name="_xlpm.q" hidden="1" xlm="1">#NAME?</definedName>
    <definedName name="_xlpm.qborrow" hidden="1" xlm="1">#NAME?</definedName>
    <definedName name="_xlpm.qsigma" hidden="1" xlm="1">#NAME?</definedName>
    <definedName name="_xlpm.r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borrow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eb" hidden="1" xlm="1">#NAME?</definedName>
    <definedName name="_xlpm.seq" hidden="1" xlm="1">#NAME?</definedName>
    <definedName name="_xlpm.sfv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fv" hidden="1" xlm="1">#NAME?</definedName>
    <definedName name="_xlpm.spofv" hidden="1" xlm="1">#NAME?</definedName>
    <definedName name="_xlpm.spot" hidden="1" xlm="1">#NAME?</definedName>
    <definedName name="_xlpm.spot_ffv" hidden="1" xlm="1">#NAME?</definedName>
    <definedName name="_xlpm.spot_fifv" hidden="1" xlm="1">#NAME?</definedName>
    <definedName name="_xlpm.spot_finafv" hidden="1" xlm="1">#NAME?</definedName>
    <definedName name="_xlpm.spot_final" hidden="1" xlm="1">#NAME?</definedName>
    <definedName name="_xlpm.spot_finalfv" hidden="1" xlm="1">#NAME?</definedName>
    <definedName name="_xlpm.spot_finfv" hidden="1" xlm="1">#NAME?</definedName>
    <definedName name="_xlpm.spot_fv" hidden="1" xlm="1">#NAME?</definedName>
    <definedName name="_xlpm.spotfv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aur" hidden="1" xlm="1">#NAME?</definedName>
    <definedName name="_xlpm.tol" hidden="1" xlm="1">#NAME?</definedName>
    <definedName name="_xlpm.tolerance" hidden="1" xlm="1">#NAME?</definedName>
    <definedName name="_xlpm.tt" hidden="1" xlm="1">#NAME?</definedName>
    <definedName name="_xlpm.ty" hidden="1" xlm="1">#NAME?</definedName>
    <definedName name="_xlpm.typ" hidden="1" xlm="1">#NAME?</definedName>
    <definedName name="_xlpm.type" hidden="1" xlm="1">#NAME?</definedName>
    <definedName name="_xlpm.u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vol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_xlfn.LAMBDA(_xlpm.spot,_xlpm.type,_xlpm.tau,_xlpm.strike,_xlpm.r,_xlpm.q,_xlpm.sigma,_xlpm.output,
   _xlfn.LET(
     _xlpm._sqrt_tau, SQRT(_xlpm.tau),
     _xlpm._vol_tot,  _xlpm.sigma * _xlpm._sqrt_tau,
     _xlpm.d_1,       (LN(_xlpm.spot/_xlpm.strike) + ((_xlpm.r-_xlpm.q)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_xlpm.sigma / (2 * _xlpm._sqrt_tau) - _xlpm.c_p * _xlpm.r * _xlpm.strike * _xlpm._exp_r_tau * _xlpm._nd2_cdf + _xlpm.c_p*_xlpm.q*_xlpm.spot*_xlpm._exp_q_tau*_xlpm._nd1_cdf) / 252),
       "R",_xlpm.c_p*_xlpm.strike*_xlpm.tau*_xlpm._exp_r_tau*_xlpm._nd2_cdf/100
     )
   )
)</definedName>
    <definedName name="BRISTO.OPT_IVOL"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BRISTO.BISECT(_xlfn.LAMBDA(_xlpm.x,BRISTO.OPT_EURO(_xlpm.spot,_xlpm.type,_xlpm.tau,_xlpm.strike,_xlpm.r,_xlpm.q,_xlpm.x,"P")),_xlpm.price,_xlpm._min,_xlpm._max,_xlpm._tol)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ExternalData_1" localSheetId="4" hidden="1">tables!$A$1:$A$868</definedName>
    <definedName name="ExternalData_2" localSheetId="4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" i="10" l="1" a="1"/>
  <c r="E13" i="10" s="1"/>
  <c r="AC36" i="3" a="1"/>
  <c r="AC36" i="3" s="1"/>
  <c r="AC37" i="3" a="1"/>
  <c r="AC37" i="3" s="1"/>
  <c r="AC38" i="3" a="1"/>
  <c r="AC38" i="3" s="1"/>
  <c r="AC35" i="3" a="1"/>
  <c r="AC35" i="3" s="1"/>
  <c r="C8" i="1"/>
  <c r="C7" i="1" a="1"/>
  <c r="C7" i="1" s="1"/>
  <c r="E24" i="3" a="1"/>
  <c r="E24" i="3" s="1"/>
  <c r="E25" i="3" a="1"/>
  <c r="E25" i="3" s="1"/>
  <c r="E26" i="3" a="1"/>
  <c r="E26" i="3" s="1"/>
  <c r="E23" i="3" a="1"/>
  <c r="E23" i="3" s="1"/>
  <c r="R26" i="3"/>
  <c r="N26" i="3"/>
  <c r="R25" i="3"/>
  <c r="N25" i="3"/>
  <c r="R24" i="3"/>
  <c r="N24" i="3"/>
  <c r="R23" i="3"/>
  <c r="N23" i="3"/>
  <c r="Z43" i="3"/>
  <c r="Y43" i="3"/>
  <c r="Z42" i="3"/>
  <c r="Y42" i="3"/>
  <c r="Z41" i="3"/>
  <c r="Y41" i="3"/>
  <c r="Z40" i="3"/>
  <c r="Y40" i="3"/>
  <c r="C24" i="1" a="1"/>
  <c r="C24" i="1" s="1"/>
  <c r="R38" i="3"/>
  <c r="N38" i="3"/>
  <c r="L38" i="3" a="1"/>
  <c r="L38" i="3" s="1"/>
  <c r="I38" i="3" a="1"/>
  <c r="I38" i="3" s="1"/>
  <c r="J38" i="3" s="1"/>
  <c r="R37" i="3"/>
  <c r="N37" i="3"/>
  <c r="L37" i="3" a="1"/>
  <c r="L37" i="3" s="1"/>
  <c r="I37" i="3" a="1"/>
  <c r="I37" i="3" s="1"/>
  <c r="J37" i="3" s="1"/>
  <c r="R36" i="3"/>
  <c r="N36" i="3"/>
  <c r="L36" i="3" a="1"/>
  <c r="L36" i="3" s="1"/>
  <c r="I36" i="3" a="1"/>
  <c r="I36" i="3" s="1"/>
  <c r="J36" i="3" s="1"/>
  <c r="R35" i="3"/>
  <c r="N35" i="3"/>
  <c r="L35" i="3" a="1"/>
  <c r="L35" i="3" s="1"/>
  <c r="I35" i="3" a="1"/>
  <c r="I35" i="3" s="1"/>
  <c r="J35" i="3" s="1"/>
  <c r="N18" i="3"/>
  <c r="N19" i="3"/>
  <c r="N20" i="3"/>
  <c r="N17" i="3"/>
  <c r="L20" i="3" a="1"/>
  <c r="L20" i="3" s="1"/>
  <c r="L19" i="3" a="1"/>
  <c r="L19" i="3" s="1"/>
  <c r="L18" i="3" a="1"/>
  <c r="L18" i="3" s="1"/>
  <c r="L17" i="3" a="1"/>
  <c r="L17" i="3" s="1"/>
  <c r="R20" i="3"/>
  <c r="I20" i="3" a="1"/>
  <c r="I20" i="3" s="1"/>
  <c r="J20" i="3" s="1"/>
  <c r="R19" i="3"/>
  <c r="I19" i="3" a="1"/>
  <c r="I19" i="3" s="1"/>
  <c r="J19" i="3" s="1"/>
  <c r="R18" i="3"/>
  <c r="I18" i="3" a="1"/>
  <c r="I18" i="3" s="1"/>
  <c r="J18" i="3" s="1"/>
  <c r="R17" i="3"/>
  <c r="I17" i="3" a="1"/>
  <c r="I17" i="3" s="1"/>
  <c r="J17" i="3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/>
  <c r="C13" i="10" a="1"/>
  <c r="C13" i="10" s="1"/>
  <c r="B13" i="10" a="1"/>
  <c r="B13" i="10" s="1"/>
  <c r="K4" i="10" a="1"/>
  <c r="J4" i="10" a="1"/>
  <c r="K3" i="10" a="1"/>
  <c r="K3" i="10" s="1"/>
  <c r="C23" i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K11" i="3" a="1"/>
  <c r="K11" i="3" s="1"/>
  <c r="L11" i="3" s="1"/>
  <c r="M11" i="3" s="1"/>
  <c r="K10" i="3" a="1"/>
  <c r="K10" i="3" s="1"/>
  <c r="L10" i="3" s="1"/>
  <c r="M10" i="3" s="1"/>
  <c r="K9" i="3" a="1"/>
  <c r="K9" i="3" s="1"/>
  <c r="L9" i="3" s="1"/>
  <c r="M9" i="3" s="1"/>
  <c r="K8" i="3" a="1"/>
  <c r="K8" i="3" s="1"/>
  <c r="L8" i="3" s="1"/>
  <c r="M8" i="3" s="1"/>
  <c r="K7" i="3" a="1"/>
  <c r="K7" i="3" s="1"/>
  <c r="K6" i="3" a="1"/>
  <c r="K6" i="3" s="1"/>
  <c r="K5" i="3" a="1"/>
  <c r="K5" i="3" s="1"/>
  <c r="L5" i="3" s="1"/>
  <c r="M5" i="3" s="1"/>
  <c r="K4" i="3" a="1"/>
  <c r="K4" i="3" s="1"/>
  <c r="L4" i="3" s="1"/>
  <c r="M4" i="3" s="1"/>
  <c r="K3" i="3" a="1"/>
  <c r="K3" i="3" s="1"/>
  <c r="L3" i="3" s="1"/>
  <c r="M3" i="3" s="1"/>
  <c r="E3" i="3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K2" i="3" a="1"/>
  <c r="K2" i="3" s="1"/>
  <c r="L2" i="3" s="1"/>
  <c r="M2" i="3" s="1"/>
  <c r="G2" i="3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6" i="1" a="1"/>
  <c r="C6" i="1" s="1"/>
  <c r="I24" i="3" l="1" a="1"/>
  <c r="I24" i="3" s="1"/>
  <c r="J24" i="3" s="1"/>
  <c r="L24" i="3" a="1"/>
  <c r="L24" i="3" s="1"/>
  <c r="M24" i="3" s="1"/>
  <c r="I25" i="3" a="1"/>
  <c r="I25" i="3" s="1"/>
  <c r="J25" i="3" s="1"/>
  <c r="L25" i="3" a="1"/>
  <c r="L25" i="3" s="1"/>
  <c r="M25" i="3" s="1"/>
  <c r="I26" i="3" a="1"/>
  <c r="I26" i="3" s="1"/>
  <c r="J26" i="3" s="1"/>
  <c r="L26" i="3" a="1"/>
  <c r="L26" i="3" s="1"/>
  <c r="I23" i="3" a="1"/>
  <c r="I23" i="3" s="1"/>
  <c r="J23" i="3" s="1"/>
  <c r="L23" i="3" a="1"/>
  <c r="L23" i="3" s="1"/>
  <c r="M38" i="3"/>
  <c r="S38" i="3" s="1" a="1"/>
  <c r="S38" i="3" s="1"/>
  <c r="M37" i="3"/>
  <c r="S37" i="3" s="1" a="1"/>
  <c r="S37" i="3" s="1"/>
  <c r="M36" i="3"/>
  <c r="S36" i="3" s="1" a="1"/>
  <c r="S36" i="3" s="1"/>
  <c r="M35" i="3"/>
  <c r="S35" i="3" s="1" a="1"/>
  <c r="S35" i="3" s="1"/>
  <c r="M20" i="3"/>
  <c r="M19" i="3"/>
  <c r="M18" i="3"/>
  <c r="M17" i="3"/>
  <c r="H2" i="3"/>
  <c r="E4" i="3"/>
  <c r="G3" i="3"/>
  <c r="H3" i="3" s="1"/>
  <c r="K4" i="10"/>
  <c r="J4" i="10"/>
  <c r="Y10" i="9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L113" i="8"/>
  <c r="B45" i="8"/>
  <c r="C49" i="8" s="1" a="1"/>
  <c r="C49" i="8" s="1"/>
  <c r="N9" i="5"/>
  <c r="N8" i="5"/>
  <c r="N7" i="5"/>
  <c r="N6" i="5"/>
  <c r="L7" i="3"/>
  <c r="L6" i="3"/>
  <c r="AD38" i="3" l="1"/>
  <c r="AD37" i="3"/>
  <c r="AD36" i="3"/>
  <c r="AD35" i="3"/>
  <c r="M26" i="3"/>
  <c r="M23" i="3"/>
  <c r="P25" i="3"/>
  <c r="O25" i="3"/>
  <c r="P24" i="3"/>
  <c r="O24" i="3"/>
  <c r="P38" i="3"/>
  <c r="O38" i="3"/>
  <c r="P37" i="3"/>
  <c r="O37" i="3"/>
  <c r="P36" i="3"/>
  <c r="O36" i="3"/>
  <c r="P35" i="3"/>
  <c r="O35" i="3"/>
  <c r="P20" i="3"/>
  <c r="O20" i="3"/>
  <c r="P19" i="3"/>
  <c r="O19" i="3"/>
  <c r="P18" i="3"/>
  <c r="O18" i="3"/>
  <c r="P17" i="3"/>
  <c r="O17" i="3"/>
  <c r="G4" i="3"/>
  <c r="H4" i="3" s="1"/>
  <c r="E5" i="3"/>
  <c r="Z10" i="9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O9" i="5"/>
  <c r="P9" i="5" s="1"/>
  <c r="Q9" i="5" s="1"/>
  <c r="S9" i="5" a="1"/>
  <c r="S9" i="5" s="1"/>
  <c r="O6" i="5"/>
  <c r="P6" i="5" s="1"/>
  <c r="Q6" i="5" s="1"/>
  <c r="S6" i="5" a="1"/>
  <c r="O8" i="5"/>
  <c r="P8" i="5" s="1"/>
  <c r="Q8" i="5" s="1"/>
  <c r="S8" i="5" a="1"/>
  <c r="M6" i="3"/>
  <c r="O7" i="5"/>
  <c r="P7" i="5" s="1"/>
  <c r="Q7" i="5" s="1"/>
  <c r="S7" i="5" a="1"/>
  <c r="M7" i="3"/>
  <c r="O26" i="3" l="1"/>
  <c r="P26" i="3"/>
  <c r="P23" i="3"/>
  <c r="O23" i="3"/>
  <c r="AD19" i="3" a="1"/>
  <c r="AD19" i="3" s="1"/>
  <c r="AD18" i="3" a="1"/>
  <c r="AD18" i="3" s="1"/>
  <c r="AD20" i="3" a="1"/>
  <c r="AD20" i="3" s="1"/>
  <c r="AD17" i="3" a="1"/>
  <c r="AD17" i="3" s="1"/>
  <c r="AH20" i="3" a="1"/>
  <c r="AH19" i="3" a="1"/>
  <c r="AH18" i="3" a="1"/>
  <c r="AH17" i="3" a="1"/>
  <c r="Q25" i="3"/>
  <c r="W25" i="3" s="1"/>
  <c r="T25" i="3"/>
  <c r="AB25" i="3" s="1"/>
  <c r="U25" i="3"/>
  <c r="AA25" i="3" s="1"/>
  <c r="V25" i="3"/>
  <c r="Q24" i="3"/>
  <c r="T24" i="3"/>
  <c r="AB24" i="3" s="1"/>
  <c r="U24" i="3"/>
  <c r="AA24" i="3" s="1"/>
  <c r="V24" i="3"/>
  <c r="V20" i="3"/>
  <c r="T20" i="3"/>
  <c r="T43" i="3" s="1"/>
  <c r="U20" i="3"/>
  <c r="U43" i="3" s="1"/>
  <c r="U19" i="3"/>
  <c r="U42" i="3" s="1"/>
  <c r="V19" i="3"/>
  <c r="T19" i="3"/>
  <c r="T42" i="3" s="1"/>
  <c r="Q38" i="3"/>
  <c r="AB38" i="3"/>
  <c r="AA38" i="3"/>
  <c r="Q37" i="3"/>
  <c r="AB37" i="3"/>
  <c r="AA37" i="3"/>
  <c r="Q36" i="3"/>
  <c r="AB36" i="3"/>
  <c r="AA36" i="3"/>
  <c r="Q35" i="3"/>
  <c r="AB35" i="3"/>
  <c r="AA35" i="3"/>
  <c r="T18" i="3"/>
  <c r="T41" i="3" s="1"/>
  <c r="U18" i="3"/>
  <c r="U41" i="3" s="1"/>
  <c r="V18" i="3"/>
  <c r="T17" i="3"/>
  <c r="T40" i="3" s="1"/>
  <c r="U17" i="3"/>
  <c r="U40" i="3" s="1"/>
  <c r="V17" i="3"/>
  <c r="Q20" i="3"/>
  <c r="X20" i="3" s="1"/>
  <c r="X43" i="3" s="1"/>
  <c r="Q19" i="3"/>
  <c r="X19" i="3" s="1"/>
  <c r="X42" i="3" s="1"/>
  <c r="Q18" i="3"/>
  <c r="X18" i="3" s="1"/>
  <c r="X41" i="3" s="1"/>
  <c r="Q17" i="3"/>
  <c r="X17" i="3" s="1"/>
  <c r="X40" i="3" s="1"/>
  <c r="G5" i="3"/>
  <c r="H5" i="3" s="1"/>
  <c r="E6" i="3"/>
  <c r="AB9" i="9"/>
  <c r="V10" i="9"/>
  <c r="V9" i="9" s="1"/>
  <c r="P10" i="9"/>
  <c r="P9" i="9" s="1"/>
  <c r="AC9" i="5" a="1"/>
  <c r="AC9" i="5" s="1"/>
  <c r="AD9" i="5" s="1"/>
  <c r="Z9" i="5"/>
  <c r="I8" i="9" a="1"/>
  <c r="I8" i="9" s="1"/>
  <c r="F6" i="9"/>
  <c r="AA9" i="5"/>
  <c r="AB9" i="5"/>
  <c r="AB6" i="5"/>
  <c r="AA6" i="5"/>
  <c r="S6" i="5"/>
  <c r="S8" i="5"/>
  <c r="AA8" i="5"/>
  <c r="AB8" i="5"/>
  <c r="AA7" i="5"/>
  <c r="AB7" i="5"/>
  <c r="S7" i="5"/>
  <c r="U26" i="3" l="1"/>
  <c r="AA26" i="3" s="1"/>
  <c r="Q26" i="3"/>
  <c r="S26" i="3" s="1"/>
  <c r="T26" i="3"/>
  <c r="AB26" i="3" s="1"/>
  <c r="V26" i="3"/>
  <c r="Q23" i="3"/>
  <c r="T23" i="3"/>
  <c r="AB23" i="3" s="1"/>
  <c r="U23" i="3"/>
  <c r="AA23" i="3" s="1"/>
  <c r="V23" i="3"/>
  <c r="AL20" i="3"/>
  <c r="AN20" i="3" s="1"/>
  <c r="AO20" i="3" s="1"/>
  <c r="AP20" i="3" s="1"/>
  <c r="AH20" i="3"/>
  <c r="AL19" i="3"/>
  <c r="AN19" i="3" s="1"/>
  <c r="AO19" i="3" s="1"/>
  <c r="AP19" i="3" s="1"/>
  <c r="AH19" i="3"/>
  <c r="AH18" i="3"/>
  <c r="AL18" i="3"/>
  <c r="AN18" i="3" s="1"/>
  <c r="AO18" i="3" s="1"/>
  <c r="AP18" i="3" s="1"/>
  <c r="AL17" i="3"/>
  <c r="AN17" i="3" s="1"/>
  <c r="AO17" i="3" s="1"/>
  <c r="AP17" i="3" s="1"/>
  <c r="AH17" i="3"/>
  <c r="X24" i="3"/>
  <c r="S24" i="3"/>
  <c r="W24" i="3"/>
  <c r="X25" i="3"/>
  <c r="S25" i="3"/>
  <c r="V43" i="3"/>
  <c r="V42" i="3"/>
  <c r="V41" i="3"/>
  <c r="V40" i="3"/>
  <c r="AB20" i="3"/>
  <c r="AA20" i="3"/>
  <c r="AA19" i="3"/>
  <c r="AB19" i="3"/>
  <c r="AB18" i="3"/>
  <c r="AA18" i="3"/>
  <c r="AB17" i="3"/>
  <c r="AA17" i="3"/>
  <c r="S20" i="3"/>
  <c r="W20" i="3"/>
  <c r="S19" i="3"/>
  <c r="W19" i="3"/>
  <c r="S18" i="3"/>
  <c r="W18" i="3"/>
  <c r="S17" i="3"/>
  <c r="W17" i="3"/>
  <c r="G6" i="3"/>
  <c r="H6" i="3" s="1"/>
  <c r="E7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W26" i="3" l="1"/>
  <c r="X26" i="3"/>
  <c r="S23" i="3"/>
  <c r="W29" i="3" s="1"/>
  <c r="W23" i="3"/>
  <c r="X23" i="3"/>
  <c r="W32" i="3"/>
  <c r="X32" i="3" s="1"/>
  <c r="W30" i="3"/>
  <c r="X30" i="3" s="1"/>
  <c r="W31" i="3"/>
  <c r="X31" i="3" s="1"/>
  <c r="AB41" i="3"/>
  <c r="AB43" i="3"/>
  <c r="AA43" i="3"/>
  <c r="AA42" i="3"/>
  <c r="AB42" i="3"/>
  <c r="AA41" i="3"/>
  <c r="AB40" i="3"/>
  <c r="AA40" i="3"/>
  <c r="S43" i="3"/>
  <c r="W43" i="3"/>
  <c r="S42" i="3"/>
  <c r="W42" i="3"/>
  <c r="S41" i="3"/>
  <c r="W41" i="3"/>
  <c r="S40" i="3"/>
  <c r="W40" i="3"/>
  <c r="G7" i="3"/>
  <c r="H7" i="3" s="1"/>
  <c r="E8" i="3"/>
  <c r="Z10" i="5"/>
  <c r="Z12" i="5" s="1"/>
  <c r="Z13" i="5" s="1"/>
  <c r="Z14" i="5" s="1"/>
  <c r="Z15" i="5" s="1"/>
  <c r="M23" i="5" s="1"/>
  <c r="X29" i="3" l="1"/>
  <c r="G8" i="3"/>
  <c r="H8" i="3" s="1"/>
  <c r="E9" i="3"/>
  <c r="M26" i="5"/>
  <c r="M28" i="5"/>
  <c r="M27" i="5"/>
  <c r="M29" i="5"/>
  <c r="E10" i="3" l="1"/>
  <c r="G9" i="3"/>
  <c r="H9" i="3" s="1"/>
  <c r="S27" i="5" a="1"/>
  <c r="O27" i="5"/>
  <c r="P27" i="5" s="1"/>
  <c r="Q27" i="5" s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G10" i="3" l="1"/>
  <c r="H10" i="3" s="1"/>
  <c r="E11" i="3"/>
  <c r="G11" i="3" s="1"/>
  <c r="H11" i="3" s="1"/>
  <c r="S27" i="5"/>
  <c r="AA27" i="5"/>
  <c r="AB27" i="5"/>
  <c r="S26" i="5"/>
  <c r="AA26" i="5"/>
  <c r="AB26" i="5"/>
  <c r="AA28" i="5"/>
  <c r="S28" i="5"/>
  <c r="AB28" i="5"/>
  <c r="S29" i="5"/>
  <c r="Z29" i="5" s="1"/>
  <c r="AA29" i="5"/>
  <c r="AB29" i="5"/>
  <c r="AC29" i="5" a="1"/>
  <c r="AC29" i="5" s="1"/>
  <c r="AD29" i="5" s="1"/>
  <c r="Z27" i="5" l="1"/>
  <c r="AC27" i="5" a="1"/>
  <c r="AC27" i="5" s="1"/>
  <c r="AD27" i="5" s="1"/>
  <c r="AC28" i="5" a="1"/>
  <c r="AC28" i="5" s="1"/>
  <c r="AD28" i="5" s="1"/>
  <c r="Z28" i="5"/>
  <c r="Z26" i="5"/>
  <c r="AC26" i="5" a="1"/>
  <c r="AC26" i="5" s="1"/>
  <c r="AD26" i="5" s="1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<sst xmlns="http://schemas.openxmlformats.org/spreadsheetml/2006/main" count="374" uniqueCount="171">
  <si>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</si>
  <si>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</si>
  <si>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</si>
  <si>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</si>
  <si>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</si>
  <si>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</si>
  <si>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</si>
  <si>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</si>
  <si>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</si>
  <si>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</si>
  <si>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</si>
  <si>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</si>
  <si>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</si>
  <si>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</si>
  <si>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</si>
  <si>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</si>
  <si>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</si>
  <si>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</si>
  <si>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</si>
  <si>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</si>
  <si>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</si>
  <si>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</si>
  <si>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</si>
  <si>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</si>
  <si>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</si>
  <si>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</si>
  <si>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</si>
  <si>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</si>
  <si>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</si>
  <si>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</si>
  <si>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</si>
  <si>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</si>
  <si>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</si>
  <si>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</si>
  <si>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</si>
  <si>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</si>
  <si>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</si>
  <si>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</si>
  <si>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</si>
  <si>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</si>
  <si>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</si>
  <si>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</si>
  <si>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</si>
  <si>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</si>
  <si>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</si>
  <si>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</si>
  <si>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</si>
  <si>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</si>
  <si>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</si>
  <si>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</si>
  <si>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</si>
  <si>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</si>
  <si>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</si>
  <si>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</si>
  <si>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</si>
  <si>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</si>
  <si>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</si>
  <si>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</si>
  <si>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</si>
  <si>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</si>
  <si>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</si>
  <si>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</si>
  <si>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</si>
  <si>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</si>
  <si>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</si>
  <si>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</si>
  <si>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</si>
  <si>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</si>
  <si>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</si>
  <si>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</si>
  <si>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</si>
  <si>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</si>
  <si>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</si>
  <si>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</si>
  <si>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</si>
  <si>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</si>
  <si>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</si>
  <si>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</si>
  <si>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</si>
  <si>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</si>
  <si>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</si>
  <si>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</si>
  <si>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</si>
  <si>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</si>
  <si>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</si>
  <si>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</si>
  <si>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</si>
  <si>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</si>
  <si>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</si>
  <si>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</si>
  <si>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</si>
  <si>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</si>
  <si>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</si>
  <si>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</si>
  <si>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</si>
  <si>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</si>
  <si>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</si>
  <si>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</si>
  <si>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</si>
  <si>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</si>
  <si>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</si>
  <si>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</si>
  <si>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</si>
  <si>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</si>
  <si>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</si>
  <si>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</si>
  <si>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</si>
  <si>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</si>
  <si>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</si>
  <si>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</si>
  <si>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</si>
  <si>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</si>
  <si>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</si>
  <si>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</si>
  <si>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</si>
  <si>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</si>
  <si>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</si>
  <si>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</si>
  <si>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</si>
  <si>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</si>
  <si>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</si>
  <si>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</si>
  <si>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</si>
  <si>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</si>
  <si>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</si>
  <si>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</si>
  <si>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</si>
  <si>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</si>
  <si>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</si>
  <si>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</si>
  <si>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</si>
  <si>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</si>
  <si>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</si>
  <si>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</si>
  <si>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</si>
  <si>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</si>
  <si>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</si>
  <si>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</si>
  <si>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</si>
  <si>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</si>
  <si>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</si>
  <si>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</si>
  <si>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</si>
  <si>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</si>
  <si>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</si>
  <si>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</si>
  <si>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</si>
  <si>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</si>
  <si>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</si>
  <si>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</si>
  <si>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</si>
  <si>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</si>
  <si>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</si>
  <si>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</si>
  <si>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</si>
  <si>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</si>
  <si>
    <t>Stock Price (S)</t>
  </si>
  <si>
    <t>Strike Price (K)</t>
  </si>
  <si>
    <t>Years to Maturity (T)</t>
  </si>
  <si>
    <t>Interest Rate (r)</t>
  </si>
  <si>
    <t>Volatility (v)</t>
  </si>
  <si>
    <t>Steps (n)</t>
  </si>
  <si>
    <t>Type (C or P)</t>
  </si>
  <si>
    <t>i</t>
  </si>
  <si>
    <t>j</t>
  </si>
  <si>
    <t>BRISTO.OPT_EURO2</t>
  </si>
  <si>
    <t>rho</t>
  </si>
  <si>
    <t>PDGVTR</t>
  </si>
  <si>
    <t>check theta</t>
  </si>
  <si>
    <t>bs</t>
  </si>
  <si>
    <t>b-tree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</si>
</sst>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00000"/>
    <numFmt numFmtId="176" formatCode="#,##0.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73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176" fontId="0" fillId="0" borderId="0" xfId="0" applyNumberFormat="1"/>
    <xf numFmtId="4" fontId="1" fillId="0" borderId="0" xfId="0" applyNumberFormat="1" applyFont="1"/>
    <xf numFmtId="0" fontId="1" fillId="0" borderId="0" xfId="0" applyFont="1" applyAlignment="1">
      <alignment horizontal="center"/>
    </xf>
    <xf numFmtId="170" fontId="1" fillId="0" borderId="0" xfId="0" applyNumberFormat="1" applyFont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4" totalsRowShown="0">
  <autoFilter ref="B4:C24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tabSelected="1" workbookViewId="0">
      <selection activeCell="C22" sqref="C22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_xlfn.LAMBDA(_xlpm.spot,_xlpm.type,_xlpm.tau,_xlpm.strike,_xlpm.r,_xlpm.q,_xlpm.sigma,_xlpm.output,
   _xlfn.LET(
     _xlpm._sqrt_tau, SQRT(_xlpm.tau),
     _xlpm._vol_tot,  _xlpm.sigma * _xlpm._sqrt_tau,
     _xlpm.d_1,       (LN(_xlpm.spot/_xlpm.strike) + ((_xlpm.r-_xlpm.q)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_xlpm.sigma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BRISTO.BISECT(_xlfn.LAMBDA(_xlpm.x,BRISTO.OPT_EURO(_xlpm.spot,_xlpm.type,_xlpm.tau,_xlpm.strike,_xlpm.r,_xlpm.q,_xlpm.x,"P")),_xlpm.price,_xlpm._min,_xlpm._max,_xlpm._tol)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142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141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146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151</v>
      </c>
      <c r="C22" t="e" vm="1">
        <f>_xlfn.LAMBDA(1E+300)</f>
        <v>#VALUE!</v>
      </c>
    </row>
    <row r="23" spans="2:7" x14ac:dyDescent="0.25">
      <c r="B23" t="s">
        <v>152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B24" t="s">
        <v>165</v>
      </c>
      <c r="C24" t="e" cm="1" vm="1">
        <f t="array" ref="C24">_xlfn.LAMBDA(_xlpm.spot,_xlpm.type,_xlpm.tau,_xlpm.strike,_xlpm.r,_xlpm.q,_xlpm.sigma,_xlpm.output,
   _xlfn.LET(
     _xlpm._sqrt_tau, SQRT(_xlpm.tau),
     _xlpm._vol_tot,  _xlpm.sigma * _xlpm._sqrt_tau,
     _xlpm.d_1,       (LN(_xlpm.spot/_xlpm.strike) + ((_xlpm.r-_xlpm.q)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_xlpm.sigma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69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43" zoomScale="85" zoomScaleNormal="85" workbookViewId="0">
      <selection activeCell="I41" sqref="I4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1" cm="1">
        <f t="array" ref="B122:B130">_xlfn.SEQUENCE(9,,1)</f>
        <v>1</v>
      </c>
      <c r="C122" s="62">
        <v>0.4</v>
      </c>
      <c r="D122" s="3"/>
      <c r="E122" s="61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1">
        <v>2</v>
      </c>
      <c r="C123" s="62">
        <v>0.5</v>
      </c>
      <c r="D123" s="3"/>
      <c r="E123" s="61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1">
        <v>3</v>
      </c>
      <c r="C124" s="62">
        <v>0.8</v>
      </c>
      <c r="D124" s="3"/>
      <c r="E124" s="61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1">
        <v>4</v>
      </c>
      <c r="C125" s="62">
        <v>0.4</v>
      </c>
      <c r="D125" s="3"/>
      <c r="E125" s="61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1">
        <v>5</v>
      </c>
      <c r="C126" s="62">
        <v>0.3</v>
      </c>
      <c r="D126" s="3"/>
      <c r="E126" s="61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1">
        <v>6</v>
      </c>
      <c r="C127" s="62">
        <v>0.1</v>
      </c>
      <c r="D127" s="3"/>
      <c r="E127" s="61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1">
        <v>7</v>
      </c>
      <c r="C128" s="62">
        <v>0.2</v>
      </c>
      <c r="E128" s="61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1">
        <v>8</v>
      </c>
      <c r="C129" s="62">
        <v>0.6</v>
      </c>
      <c r="E129" s="61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1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1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1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1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1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1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1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1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1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1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1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1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1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1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1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1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1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1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1">
        <v>3.6000000000000023</v>
      </c>
      <c r="F148" s="42">
        <v>0.58122709867452027</v>
      </c>
      <c r="H148" s="16"/>
      <c r="I148" s="3"/>
    </row>
    <row r="149" spans="4:9" x14ac:dyDescent="0.25">
      <c r="E149" s="61">
        <v>3.7000000000000024</v>
      </c>
      <c r="F149" s="42">
        <v>0.53021990979381317</v>
      </c>
      <c r="H149" s="16"/>
      <c r="I149" s="3"/>
    </row>
    <row r="150" spans="4:9" x14ac:dyDescent="0.25">
      <c r="E150" s="61">
        <v>3.8000000000000025</v>
      </c>
      <c r="F150" s="42">
        <v>0.48142179675993996</v>
      </c>
      <c r="H150" s="16"/>
      <c r="I150" s="3"/>
    </row>
    <row r="151" spans="4:9" x14ac:dyDescent="0.25">
      <c r="E151" s="61">
        <v>3.9000000000000026</v>
      </c>
      <c r="F151" s="42">
        <v>0.4372195600147265</v>
      </c>
      <c r="H151" s="16"/>
      <c r="I151" s="3"/>
    </row>
    <row r="152" spans="4:9" x14ac:dyDescent="0.25">
      <c r="E152" s="61">
        <v>4.0000000000000027</v>
      </c>
      <c r="F152" s="42">
        <v>0.39999999999999913</v>
      </c>
      <c r="H152" s="16"/>
      <c r="I152" s="3"/>
    </row>
    <row r="153" spans="4:9" x14ac:dyDescent="0.25">
      <c r="E153" s="61">
        <v>4.1000000000000023</v>
      </c>
      <c r="F153" s="42">
        <v>0.37151296944035295</v>
      </c>
      <c r="H153" s="16"/>
      <c r="I153" s="3"/>
    </row>
    <row r="154" spans="4:9" x14ac:dyDescent="0.25">
      <c r="E154" s="61">
        <v>4.200000000000002</v>
      </c>
      <c r="F154" s="42">
        <v>0.35096053019145773</v>
      </c>
      <c r="H154" s="16"/>
      <c r="I154" s="3"/>
    </row>
    <row r="155" spans="4:9" x14ac:dyDescent="0.25">
      <c r="E155" s="61">
        <v>4.3000000000000016</v>
      </c>
      <c r="F155" s="42">
        <v>0.33690779639175239</v>
      </c>
      <c r="H155" s="16"/>
      <c r="I155" s="3"/>
    </row>
    <row r="156" spans="4:9" x14ac:dyDescent="0.25">
      <c r="E156" s="61">
        <v>4.4000000000000012</v>
      </c>
      <c r="F156" s="42">
        <v>0.32791988217967588</v>
      </c>
      <c r="H156" s="16"/>
      <c r="I156" s="3"/>
    </row>
    <row r="157" spans="4:9" x14ac:dyDescent="0.25">
      <c r="E157" s="61">
        <v>4.5000000000000009</v>
      </c>
      <c r="F157" s="42">
        <v>0.32256190169366711</v>
      </c>
      <c r="H157" s="16"/>
      <c r="I157" s="3"/>
    </row>
    <row r="158" spans="4:9" x14ac:dyDescent="0.25">
      <c r="E158" s="61">
        <v>4.6000000000000005</v>
      </c>
      <c r="F158" s="42">
        <v>0.31939896907216492</v>
      </c>
      <c r="H158" s="16"/>
      <c r="I158" s="3"/>
    </row>
    <row r="159" spans="4:9" x14ac:dyDescent="0.25">
      <c r="E159" s="61">
        <v>4.7</v>
      </c>
      <c r="F159" s="42">
        <v>0.31699619845360827</v>
      </c>
      <c r="H159" s="16"/>
      <c r="I159" s="3"/>
    </row>
    <row r="160" spans="4:9" x14ac:dyDescent="0.25">
      <c r="E160" s="61">
        <v>4.8</v>
      </c>
      <c r="F160" s="42">
        <v>0.3139187039764359</v>
      </c>
      <c r="H160" s="16"/>
      <c r="I160" s="3"/>
    </row>
    <row r="161" spans="5:9" x14ac:dyDescent="0.25">
      <c r="E161" s="61">
        <v>4.8999999999999995</v>
      </c>
      <c r="F161" s="42">
        <v>0.30873159977908687</v>
      </c>
      <c r="H161" s="16"/>
      <c r="I161" s="3"/>
    </row>
    <row r="162" spans="5:9" x14ac:dyDescent="0.25">
      <c r="E162" s="61">
        <v>4.9999999999999991</v>
      </c>
      <c r="F162" s="42">
        <v>0.30000000000000004</v>
      </c>
      <c r="H162" s="16"/>
      <c r="I162" s="3"/>
    </row>
    <row r="163" spans="5:9" x14ac:dyDescent="0.25">
      <c r="E163" s="61">
        <v>5.0999999999999988</v>
      </c>
      <c r="F163" s="42">
        <v>0.28668695692194424</v>
      </c>
      <c r="H163" s="16"/>
      <c r="I163" s="3"/>
    </row>
    <row r="164" spans="5:9" x14ac:dyDescent="0.25">
      <c r="E164" s="61">
        <v>5.1999999999999984</v>
      </c>
      <c r="F164" s="42">
        <v>0.26934727540500764</v>
      </c>
      <c r="H164" s="16"/>
      <c r="I164" s="3"/>
    </row>
    <row r="165" spans="5:9" x14ac:dyDescent="0.25">
      <c r="E165" s="61">
        <v>5.299999999999998</v>
      </c>
      <c r="F165" s="42">
        <v>0.24893369845360866</v>
      </c>
      <c r="H165" s="16"/>
      <c r="I165" s="3"/>
    </row>
    <row r="166" spans="5:9" x14ac:dyDescent="0.25">
      <c r="E166" s="61">
        <v>5.3999999999999977</v>
      </c>
      <c r="F166" s="42">
        <v>0.22639896907216547</v>
      </c>
      <c r="H166" s="16"/>
      <c r="I166" s="3"/>
    </row>
    <row r="167" spans="5:9" x14ac:dyDescent="0.25">
      <c r="E167" s="61">
        <v>5.4999999999999973</v>
      </c>
      <c r="F167" s="42">
        <v>0.20269583026509636</v>
      </c>
      <c r="H167" s="16"/>
      <c r="I167" s="3"/>
    </row>
    <row r="168" spans="5:9" x14ac:dyDescent="0.25">
      <c r="E168" s="61">
        <v>5.599999999999997</v>
      </c>
      <c r="F168" s="42">
        <v>0.17877702503681955</v>
      </c>
      <c r="H168" s="16"/>
      <c r="I168" s="3"/>
    </row>
    <row r="169" spans="5:9" x14ac:dyDescent="0.25">
      <c r="E169" s="61">
        <v>5.6999999999999966</v>
      </c>
      <c r="F169" s="42">
        <v>0.15559529639175332</v>
      </c>
      <c r="H169" s="16"/>
      <c r="I169" s="3"/>
    </row>
    <row r="170" spans="5:9" x14ac:dyDescent="0.25">
      <c r="E170" s="61">
        <v>5.7999999999999963</v>
      </c>
      <c r="F170" s="42">
        <v>0.13410338733431593</v>
      </c>
      <c r="H170" s="16"/>
      <c r="I170" s="3"/>
    </row>
    <row r="171" spans="5:9" x14ac:dyDescent="0.25">
      <c r="E171" s="61">
        <v>5.8999999999999959</v>
      </c>
      <c r="F171" s="42">
        <v>0.1152540408689256</v>
      </c>
      <c r="H171" s="16"/>
      <c r="I171" s="3"/>
    </row>
    <row r="172" spans="5:9" x14ac:dyDescent="0.25">
      <c r="E172" s="61">
        <v>5.9999999999999956</v>
      </c>
      <c r="F172" s="42">
        <v>0.10000000000000059</v>
      </c>
      <c r="H172" s="16"/>
      <c r="I172" s="3"/>
    </row>
    <row r="173" spans="5:9" x14ac:dyDescent="0.25">
      <c r="E173" s="61">
        <v>6.0999999999999952</v>
      </c>
      <c r="F173" s="42">
        <v>8.9139202871870826E-2</v>
      </c>
      <c r="H173" s="16"/>
      <c r="I173" s="3"/>
    </row>
    <row r="174" spans="5:9" x14ac:dyDescent="0.25">
      <c r="E174" s="61">
        <v>6.1999999999999948</v>
      </c>
      <c r="F174" s="42">
        <v>8.2850368188512741E-2</v>
      </c>
      <c r="H174" s="16"/>
      <c r="I174" s="3"/>
    </row>
    <row r="175" spans="5:9" x14ac:dyDescent="0.25">
      <c r="E175" s="61">
        <v>6.2999999999999945</v>
      </c>
      <c r="F175" s="42">
        <v>8.1157409793814417E-2</v>
      </c>
      <c r="H175" s="16"/>
      <c r="I175" s="3"/>
    </row>
    <row r="176" spans="5:9" x14ac:dyDescent="0.25">
      <c r="E176" s="61">
        <v>6.3999999999999941</v>
      </c>
      <c r="F176" s="42">
        <v>8.4084241531663925E-2</v>
      </c>
      <c r="H176" s="16"/>
      <c r="I176" s="3"/>
    </row>
    <row r="177" spans="5:9" x14ac:dyDescent="0.25">
      <c r="E177" s="61">
        <v>6.4999999999999938</v>
      </c>
      <c r="F177" s="42">
        <v>9.1654777245949337E-2</v>
      </c>
      <c r="H177" s="16"/>
      <c r="I177" s="3"/>
    </row>
    <row r="178" spans="5:9" x14ac:dyDescent="0.25">
      <c r="E178" s="61">
        <v>6.5999999999999934</v>
      </c>
      <c r="F178" s="42">
        <v>0.10389293078055871</v>
      </c>
      <c r="H178" s="16"/>
      <c r="I178" s="3"/>
    </row>
    <row r="179" spans="5:9" x14ac:dyDescent="0.25">
      <c r="E179" s="61">
        <v>6.6999999999999931</v>
      </c>
      <c r="F179" s="42">
        <v>0.12082261597938013</v>
      </c>
      <c r="H179" s="16"/>
      <c r="I179" s="3"/>
    </row>
    <row r="180" spans="5:9" x14ac:dyDescent="0.25">
      <c r="E180" s="61">
        <v>6.7999999999999927</v>
      </c>
      <c r="F180" s="42">
        <v>0.14246774668630163</v>
      </c>
      <c r="H180" s="16"/>
      <c r="I180" s="3"/>
    </row>
    <row r="181" spans="5:9" x14ac:dyDescent="0.25">
      <c r="E181" s="61">
        <v>6.8999999999999924</v>
      </c>
      <c r="F181" s="42">
        <v>0.16885223674521135</v>
      </c>
      <c r="H181" s="16"/>
      <c r="I181" s="3"/>
    </row>
    <row r="182" spans="5:9" x14ac:dyDescent="0.25">
      <c r="E182" s="61">
        <v>6.999999999999992</v>
      </c>
      <c r="F182" s="42">
        <v>0.19999999999999735</v>
      </c>
      <c r="H182" s="16"/>
      <c r="I182" s="3"/>
    </row>
    <row r="183" spans="5:9" x14ac:dyDescent="0.25">
      <c r="E183" s="61">
        <v>7.0999999999999917</v>
      </c>
      <c r="F183" s="42">
        <v>0.23575623159057124</v>
      </c>
      <c r="H183" s="16"/>
      <c r="I183" s="3"/>
    </row>
    <row r="184" spans="5:9" x14ac:dyDescent="0.25">
      <c r="E184" s="61">
        <v>7.1999999999999913</v>
      </c>
      <c r="F184" s="42">
        <v>0.27525125184093902</v>
      </c>
      <c r="H184" s="16"/>
      <c r="I184" s="3"/>
    </row>
    <row r="185" spans="5:9" x14ac:dyDescent="0.25">
      <c r="E185" s="61">
        <v>7.2999999999999909</v>
      </c>
      <c r="F185" s="42">
        <v>0.31743666237113011</v>
      </c>
      <c r="H185" s="16"/>
      <c r="I185" s="3"/>
    </row>
    <row r="186" spans="5:9" x14ac:dyDescent="0.25">
      <c r="E186" s="61">
        <v>7.3999999999999906</v>
      </c>
      <c r="F186" s="42">
        <v>0.36126406480117401</v>
      </c>
      <c r="H186" s="16"/>
      <c r="I186" s="3"/>
    </row>
    <row r="187" spans="5:9" x14ac:dyDescent="0.25">
      <c r="E187" s="61">
        <v>7.4999999999999902</v>
      </c>
      <c r="F187" s="42">
        <v>0.40568506075110022</v>
      </c>
      <c r="H187" s="16"/>
      <c r="I187" s="3"/>
    </row>
    <row r="188" spans="5:9" x14ac:dyDescent="0.25">
      <c r="E188" s="61">
        <v>7.5999999999999899</v>
      </c>
      <c r="F188" s="42">
        <v>0.44965125184093813</v>
      </c>
      <c r="H188" s="16"/>
      <c r="I188" s="3"/>
    </row>
    <row r="189" spans="5:9" x14ac:dyDescent="0.25">
      <c r="E189" s="61">
        <v>7.6999999999999895</v>
      </c>
      <c r="F189" s="42">
        <v>0.49211423969071733</v>
      </c>
      <c r="H189" s="16"/>
      <c r="I189" s="3"/>
    </row>
    <row r="190" spans="5:9" x14ac:dyDescent="0.25">
      <c r="E190" s="61">
        <v>7.7999999999999892</v>
      </c>
      <c r="F190" s="42">
        <v>0.53202562592046709</v>
      </c>
      <c r="H190" s="16"/>
      <c r="I190" s="3"/>
    </row>
    <row r="191" spans="5:9" x14ac:dyDescent="0.25">
      <c r="E191" s="61">
        <v>7.8999999999999888</v>
      </c>
      <c r="F191" s="42">
        <v>0.56833701215021704</v>
      </c>
      <c r="H191" s="16"/>
      <c r="I191" s="3"/>
    </row>
    <row r="192" spans="5:9" x14ac:dyDescent="0.25">
      <c r="E192" s="61">
        <v>7.9999999999999885</v>
      </c>
      <c r="F192" s="42">
        <v>0.59999999999999654</v>
      </c>
      <c r="H192" s="16"/>
      <c r="I192" s="3"/>
    </row>
    <row r="193" spans="5:9" x14ac:dyDescent="0.25">
      <c r="E193" s="61">
        <v>8.099999999999989</v>
      </c>
      <c r="F193" s="42">
        <v>0.62623587076582954</v>
      </c>
      <c r="H193" s="16"/>
      <c r="I193" s="3"/>
    </row>
    <row r="194" spans="5:9" x14ac:dyDescent="0.25">
      <c r="E194" s="61">
        <v>8.1999999999999886</v>
      </c>
      <c r="F194" s="42">
        <v>0.64734462444771512</v>
      </c>
      <c r="H194" s="16"/>
      <c r="I194" s="3"/>
    </row>
    <row r="195" spans="5:9" x14ac:dyDescent="0.25">
      <c r="E195" s="61">
        <v>8.2999999999999883</v>
      </c>
      <c r="F195" s="42">
        <v>0.66389594072164781</v>
      </c>
      <c r="H195" s="16"/>
      <c r="I195" s="3"/>
    </row>
    <row r="196" spans="5:9" x14ac:dyDescent="0.25">
      <c r="E196" s="61">
        <v>8.3999999999999879</v>
      </c>
      <c r="F196" s="42">
        <v>0.6764594992636217</v>
      </c>
      <c r="H196" s="16"/>
      <c r="I196" s="3"/>
    </row>
    <row r="197" spans="5:9" x14ac:dyDescent="0.25">
      <c r="E197" s="61">
        <v>8.4999999999999876</v>
      </c>
      <c r="F197" s="42">
        <v>0.68560497974963086</v>
      </c>
      <c r="H197" s="16"/>
      <c r="I197" s="3"/>
    </row>
    <row r="198" spans="5:9" x14ac:dyDescent="0.25">
      <c r="E198" s="61">
        <v>8.5999999999999872</v>
      </c>
      <c r="F198" s="42">
        <v>0.69190206185566938</v>
      </c>
      <c r="H198" s="16"/>
      <c r="I198" s="3"/>
    </row>
    <row r="199" spans="5:9" x14ac:dyDescent="0.25">
      <c r="E199" s="61">
        <v>8.6999999999999869</v>
      </c>
      <c r="F199" s="42">
        <v>0.69592042525773157</v>
      </c>
      <c r="H199" s="16"/>
      <c r="I199" s="3"/>
    </row>
    <row r="200" spans="5:9" x14ac:dyDescent="0.25">
      <c r="E200" s="61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zoomScale="85" zoomScaleNormal="85" workbookViewId="0">
      <selection activeCell="E35" sqref="E35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4" t="s">
        <v>130</v>
      </c>
      <c r="V3"/>
    </row>
    <row r="4" spans="2:31" x14ac:dyDescent="0.25">
      <c r="L4" s="14" t="s">
        <v>155</v>
      </c>
    </row>
    <row r="5" spans="2:31" x14ac:dyDescent="0.25">
      <c r="B5" s="32" t="s">
        <v>132</v>
      </c>
      <c r="C5" s="34" t="s">
        <v>131</v>
      </c>
      <c r="E5" s="32" t="s">
        <v>133</v>
      </c>
      <c r="F5" s="34" t="s">
        <v>131</v>
      </c>
      <c r="H5" s="32" t="s">
        <v>135</v>
      </c>
      <c r="I5" s="39"/>
      <c r="L5" s="29" t="s">
        <v>121</v>
      </c>
      <c r="M5" s="24">
        <v>-2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5"/>
    </row>
    <row r="6" spans="2:31" x14ac:dyDescent="0.25">
      <c r="B6" s="30" cm="1">
        <f t="array" ref="B6:B18">_xlfn.SEQUENCE(13,,-2)</f>
        <v>-2</v>
      </c>
      <c r="C6" s="26" cm="1">
        <f t="array" ref="C6:C18">_xlfn.ANCHORARRAY(B6)^3+10</f>
        <v>2</v>
      </c>
      <c r="E6" s="61" cm="1">
        <f t="array" ref="E6:E17">_xlfn.DROP(_xlfn.ANCHORARRAY(B6),1)+(_xlfn.DROP(_xlfn.ANCHORARRAY(B6),-1)-_xlfn.DROP(_xlfn.ANCHORARRAY(B6),1))/2</f>
        <v>-1.5</v>
      </c>
      <c r="F6" s="62" cm="1">
        <f t="array" ref="F6:F17">_xlfn.ANCHORARRAY(E6)^3+10</f>
        <v>6.625</v>
      </c>
      <c r="H6" s="21" t="s">
        <v>134</v>
      </c>
      <c r="I6" s="63" cm="1">
        <f t="array" ref="I6">SUM((_xlfn.DROP(_xlfn.ANCHORARRAY(B6),1)-_xlfn.DROP(_xlfn.ANCHORARRAY(B6),-1))*_xlfn.DROP(_xlfn.ANCHORARRAY(C6),-1))</f>
        <v>2136</v>
      </c>
      <c r="L6" s="30" t="s">
        <v>85</v>
      </c>
      <c r="M6">
        <v>10</v>
      </c>
      <c r="V6"/>
      <c r="AC6" s="26"/>
    </row>
    <row r="7" spans="2:31" x14ac:dyDescent="0.25">
      <c r="B7" s="30">
        <v>-1</v>
      </c>
      <c r="C7" s="26">
        <v>9</v>
      </c>
      <c r="E7" s="61">
        <v>-0.5</v>
      </c>
      <c r="F7" s="62">
        <v>9.875</v>
      </c>
      <c r="H7" s="22" t="s">
        <v>136</v>
      </c>
      <c r="I7" s="64" cm="1">
        <f t="array" ref="I7">SUM((_xlfn.DROP(_xlfn.ANCHORARRAY(B6),1)-_xlfn.DROP(_xlfn.ANCHORARRAY(B6),-1))*_xlfn.DROP(_xlfn.ANCHORARRAY(C6),1))</f>
        <v>3144</v>
      </c>
      <c r="L7" s="30" t="s">
        <v>143</v>
      </c>
      <c r="M7">
        <v>4</v>
      </c>
      <c r="V7"/>
      <c r="AC7" s="26"/>
      <c r="AE7" s="3"/>
    </row>
    <row r="8" spans="2:31" x14ac:dyDescent="0.25">
      <c r="B8" s="30">
        <v>0</v>
      </c>
      <c r="C8" s="26">
        <v>10</v>
      </c>
      <c r="E8" s="61">
        <v>0.5</v>
      </c>
      <c r="F8" s="62">
        <v>10.125</v>
      </c>
      <c r="H8" s="22" t="s">
        <v>137</v>
      </c>
      <c r="I8" s="64" cm="1">
        <f t="array" ref="I8">SUM((_xlfn.DROP(_xlfn.ANCHORARRAY(B6),1)-_xlfn.DROP(_xlfn.ANCHORARRAY(B6),-1))*_xlfn.ANCHORARRAY(F6))</f>
        <v>2604</v>
      </c>
      <c r="L8" s="30" t="s">
        <v>147</v>
      </c>
      <c r="M8">
        <v>2</v>
      </c>
      <c r="R8" t="s">
        <v>147</v>
      </c>
      <c r="S8">
        <v>3</v>
      </c>
      <c r="V8"/>
      <c r="X8" t="s">
        <v>147</v>
      </c>
      <c r="Y8">
        <v>4</v>
      </c>
      <c r="AC8" s="26"/>
    </row>
    <row r="9" spans="2:31" x14ac:dyDescent="0.25">
      <c r="B9" s="30">
        <v>1</v>
      </c>
      <c r="C9" s="26">
        <v>11</v>
      </c>
      <c r="E9" s="61">
        <v>1.5</v>
      </c>
      <c r="F9" s="62">
        <v>13.375</v>
      </c>
      <c r="H9" s="22" t="s">
        <v>138</v>
      </c>
      <c r="I9" s="64" cm="1">
        <f t="array" ref="I9">SUM((_xlfn.DROP(_xlfn.ANCHORARRAY(C6),1)+_xlfn.DROP(_xlfn.ANCHORARRAY(C6),-1))*(_xlfn.DROP(_xlfn.ANCHORARRAY(B6),1)-_xlfn.DROP(_xlfn.ANCHORARRAY(B6),-1))/2)</f>
        <v>2640</v>
      </c>
      <c r="L9" s="30" t="s">
        <v>144</v>
      </c>
      <c r="M9" s="3">
        <f>($M$6-$M$5)/($M$7)/M8</f>
        <v>1.5</v>
      </c>
      <c r="P9" s="3">
        <f>SUM(_xlfn.ANCHORARRAY(P10))</f>
        <v>2616</v>
      </c>
      <c r="R9" t="s">
        <v>144</v>
      </c>
      <c r="S9" s="3">
        <f>($M$6-$M$5)/($M$7)/S8</f>
        <v>1</v>
      </c>
      <c r="V9" s="3">
        <f>SUM(_xlfn.ANCHORARRAY(V10))</f>
        <v>2616</v>
      </c>
      <c r="X9" t="s">
        <v>144</v>
      </c>
      <c r="Y9" s="3">
        <f>($M$6-$M$5)/($M$7)/Y8</f>
        <v>0.75</v>
      </c>
      <c r="AB9" s="3">
        <f>SUM(_xlfn.ANCHORARRAY(AB10))</f>
        <v>2616</v>
      </c>
      <c r="AC9" s="26"/>
    </row>
    <row r="10" spans="2:31" x14ac:dyDescent="0.25">
      <c r="B10" s="30">
        <v>2</v>
      </c>
      <c r="C10" s="26">
        <v>18</v>
      </c>
      <c r="E10" s="61">
        <v>2.5</v>
      </c>
      <c r="F10" s="62">
        <v>25.625</v>
      </c>
      <c r="H10" s="22" t="s">
        <v>139</v>
      </c>
      <c r="I10" s="64" cm="1">
        <f t="array" ref="I10">BRISTO.INT_SIMPSON(_xlfn.LAMBDA(_xlpm.x,_xlpm.x^3+10),-2,10,13)</f>
        <v>2616.0000000000014</v>
      </c>
      <c r="L10" s="30" t="s">
        <v>74</v>
      </c>
      <c r="M10" s="3" cm="1">
        <f t="array" ref="M10:M18">BRISTO.RANGE($M$5,$M$6,$M$7*M8+1)</f>
        <v>-2</v>
      </c>
      <c r="N10" s="3" cm="1">
        <f t="array" ref="N10:N18">_xlfn.LAMBDA(_xlpm.x,_xlpm.x^3+10)(_xlfn.ANCHORARRAY(M10))</f>
        <v>2</v>
      </c>
      <c r="O10" cm="1">
        <f t="array" ref="O10:O13">_xlfn.SEQUENCE($M$7,,1,M8)</f>
        <v>1</v>
      </c>
      <c r="P10" cm="1">
        <f t="array" ref="P10:P13">_xlfn.MAP(_xlfn.ANCHORARRAY(O10),_xlfn.LAMBDA(_xlpm.i,M9/3*(INDEX(_xlfn.ANCHORARRAY(N10),_xlpm.i)+4*INDEX(_xlfn.ANCHORARRAY(N10),_xlpm.i+1)+INDEX(_xlfn.ANCHORARRAY(N10),_xlpm.i+2))))</f>
        <v>26.25</v>
      </c>
      <c r="R10" t="s">
        <v>74</v>
      </c>
      <c r="S10" s="3" cm="1">
        <f t="array" ref="S10:S22">BRISTO.RANGE($M$5,$M$6,$M$7*S8+1)</f>
        <v>-2</v>
      </c>
      <c r="T10" s="3" cm="1">
        <f t="array" ref="T10:T22">_xlfn.LAMBDA(_xlpm.x,_xlpm.x^3+10)(_xlfn.ANCHORARRAY(S10))</f>
        <v>2</v>
      </c>
      <c r="U10" cm="1">
        <f t="array" ref="U10:U13">_xlfn.SEQUENCE($M$7,,1,S8)</f>
        <v>1</v>
      </c>
      <c r="V10" s="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X10" t="s">
        <v>74</v>
      </c>
      <c r="Y10" s="3" cm="1">
        <f t="array" ref="Y10:Y26">BRISTO.RANGE($M$5,$M$6,$M$7*Y8+1)</f>
        <v>-2</v>
      </c>
      <c r="Z10" s="3" cm="1">
        <f t="array" ref="Z10:Z26">_xlfn.LAMBDA(_xlpm.x,_xlpm.x^3+10)(_xlfn.ANCHORARRAY(Y10))</f>
        <v>2</v>
      </c>
      <c r="AA10" cm="1">
        <f t="array" ref="AA10:AA13">_xlfn.SEQUENCE($M$7,,1,Y8)</f>
        <v>1</v>
      </c>
      <c r="AB10" s="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6"/>
    </row>
    <row r="11" spans="2:31" x14ac:dyDescent="0.25">
      <c r="B11" s="30">
        <v>3</v>
      </c>
      <c r="C11" s="26">
        <v>37</v>
      </c>
      <c r="E11" s="61">
        <v>3.5</v>
      </c>
      <c r="F11" s="62">
        <v>52.875</v>
      </c>
      <c r="H11" s="22" t="s">
        <v>145</v>
      </c>
      <c r="I11" s="64" cm="1">
        <f t="array" ref="I11">BRISTO.INT_SIMPSON(_xlfn.LAMBDA(_xlpm.x,_xlpm.x^3+10),-2,10,13,TRUE)</f>
        <v>2615.9999999999977</v>
      </c>
      <c r="L11" s="30"/>
      <c r="M11" s="3">
        <v>-0.5</v>
      </c>
      <c r="N11">
        <v>9.875</v>
      </c>
      <c r="O11" s="3">
        <v>3</v>
      </c>
      <c r="P11">
        <v>93.75</v>
      </c>
      <c r="R11" s="3"/>
      <c r="S11" s="3">
        <v>-1</v>
      </c>
      <c r="T11" s="3">
        <v>9</v>
      </c>
      <c r="U11" s="3">
        <v>4</v>
      </c>
      <c r="V11" s="3">
        <v>93.75</v>
      </c>
      <c r="X11" s="3"/>
      <c r="Y11" s="3">
        <v>-1.25</v>
      </c>
      <c r="Z11" s="3">
        <v>8.046875</v>
      </c>
      <c r="AA11" s="3">
        <v>5</v>
      </c>
      <c r="AB11" s="3">
        <v>93.75</v>
      </c>
      <c r="AC11" s="26"/>
    </row>
    <row r="12" spans="2:31" x14ac:dyDescent="0.25">
      <c r="B12" s="30">
        <v>4</v>
      </c>
      <c r="C12" s="26">
        <v>74</v>
      </c>
      <c r="E12" s="61">
        <v>4.5</v>
      </c>
      <c r="F12" s="62">
        <v>101.125</v>
      </c>
      <c r="H12" s="22" t="s">
        <v>148</v>
      </c>
      <c r="I12" s="67" cm="1">
        <f t="array" ref="I12">BRISTO.INT_BOOLE(_xlfn.LAMBDA(_xlpm.x,_xlpm.x^3+10),-2,10,13)</f>
        <v>2615.9999999999995</v>
      </c>
      <c r="L12" s="30"/>
      <c r="M12" s="3">
        <v>1</v>
      </c>
      <c r="N12">
        <v>11</v>
      </c>
      <c r="O12" s="3">
        <v>5</v>
      </c>
      <c r="P12">
        <v>566.25</v>
      </c>
      <c r="R12" s="3"/>
      <c r="S12" s="3">
        <v>0</v>
      </c>
      <c r="T12" s="3">
        <v>10</v>
      </c>
      <c r="U12" s="3">
        <v>7</v>
      </c>
      <c r="V12" s="3">
        <v>566.25</v>
      </c>
      <c r="X12" s="3"/>
      <c r="Y12" s="3">
        <v>-0.5</v>
      </c>
      <c r="Z12" s="3">
        <v>9.875</v>
      </c>
      <c r="AA12" s="3">
        <v>9</v>
      </c>
      <c r="AB12" s="3">
        <v>566.25</v>
      </c>
      <c r="AC12" s="26"/>
    </row>
    <row r="13" spans="2:31" x14ac:dyDescent="0.25">
      <c r="B13" s="30">
        <v>5</v>
      </c>
      <c r="C13" s="26">
        <v>135</v>
      </c>
      <c r="E13" s="61">
        <v>5.5</v>
      </c>
      <c r="F13" s="62">
        <v>176.375</v>
      </c>
      <c r="H13" s="23" t="s">
        <v>149</v>
      </c>
      <c r="I13" s="66" cm="1">
        <f t="array" ref="I13">BRISTO.INTEGRATE(_xlfn.LAMBDA(_xlpm.x,_xlpm.x^3+10),-2,10,3)</f>
        <v>2615.9999999999927</v>
      </c>
      <c r="L13" s="61"/>
      <c r="M13" s="3">
        <v>2.5</v>
      </c>
      <c r="N13">
        <v>25.625</v>
      </c>
      <c r="O13" s="3">
        <v>7</v>
      </c>
      <c r="P13">
        <v>1929.75</v>
      </c>
      <c r="R13" s="3"/>
      <c r="S13" s="3">
        <v>1</v>
      </c>
      <c r="T13" s="3">
        <v>11</v>
      </c>
      <c r="U13" s="3">
        <v>10</v>
      </c>
      <c r="V13" s="3">
        <v>1929.75</v>
      </c>
      <c r="X13" s="3"/>
      <c r="Y13" s="3">
        <v>0.25</v>
      </c>
      <c r="Z13" s="3">
        <v>10.015625</v>
      </c>
      <c r="AA13" s="3">
        <v>13</v>
      </c>
      <c r="AB13" s="3">
        <v>1929.75</v>
      </c>
      <c r="AC13" s="26"/>
    </row>
    <row r="14" spans="2:31" x14ac:dyDescent="0.25">
      <c r="B14" s="30">
        <v>6</v>
      </c>
      <c r="C14" s="26">
        <v>226</v>
      </c>
      <c r="E14" s="61">
        <v>6.5</v>
      </c>
      <c r="F14" s="62">
        <v>284.625</v>
      </c>
      <c r="L14" s="30"/>
      <c r="M14" s="3">
        <v>4</v>
      </c>
      <c r="N14">
        <v>74</v>
      </c>
      <c r="O14" s="3"/>
      <c r="S14" s="3">
        <v>2</v>
      </c>
      <c r="T14" s="3">
        <v>18</v>
      </c>
      <c r="U14" s="3"/>
      <c r="Y14" s="3">
        <v>1</v>
      </c>
      <c r="Z14" s="3">
        <v>11</v>
      </c>
      <c r="AA14" s="3"/>
      <c r="AB14" s="3"/>
      <c r="AC14" s="26"/>
    </row>
    <row r="15" spans="2:31" x14ac:dyDescent="0.25">
      <c r="B15" s="30">
        <v>7</v>
      </c>
      <c r="C15" s="26">
        <v>353</v>
      </c>
      <c r="E15" s="61">
        <v>7.5</v>
      </c>
      <c r="F15" s="62">
        <v>431.875</v>
      </c>
      <c r="H15" s="58" t="s">
        <v>140</v>
      </c>
      <c r="I15" s="65">
        <v>2616</v>
      </c>
      <c r="L15" s="30"/>
      <c r="M15" s="3">
        <v>5.5</v>
      </c>
      <c r="N15">
        <v>176.375</v>
      </c>
      <c r="O15" s="3"/>
      <c r="S15" s="3">
        <v>3</v>
      </c>
      <c r="T15" s="3">
        <v>37</v>
      </c>
      <c r="U15" s="3"/>
      <c r="Y15" s="3">
        <v>1.75</v>
      </c>
      <c r="Z15" s="3">
        <v>15.359375</v>
      </c>
      <c r="AA15" s="3"/>
      <c r="AB15" s="3"/>
      <c r="AC15" s="26"/>
    </row>
    <row r="16" spans="2:31" x14ac:dyDescent="0.25">
      <c r="B16" s="30">
        <v>8</v>
      </c>
      <c r="C16" s="26">
        <v>522</v>
      </c>
      <c r="E16" s="61">
        <v>8.5</v>
      </c>
      <c r="F16" s="62">
        <v>624.125</v>
      </c>
      <c r="L16" s="30"/>
      <c r="M16" s="3">
        <v>7</v>
      </c>
      <c r="N16">
        <v>353</v>
      </c>
      <c r="O16" s="3"/>
      <c r="S16" s="3">
        <v>4</v>
      </c>
      <c r="T16" s="3">
        <v>74</v>
      </c>
      <c r="U16" s="3"/>
      <c r="Y16" s="3">
        <v>2.5</v>
      </c>
      <c r="Z16" s="3">
        <v>25.625</v>
      </c>
      <c r="AA16" s="3"/>
      <c r="AB16" s="3"/>
      <c r="AC16" s="26"/>
    </row>
    <row r="17" spans="2:29" x14ac:dyDescent="0.25">
      <c r="B17" s="30">
        <v>9</v>
      </c>
      <c r="C17" s="26">
        <v>739</v>
      </c>
      <c r="E17" s="35">
        <v>9.5</v>
      </c>
      <c r="F17" s="37">
        <v>867.375</v>
      </c>
      <c r="L17" s="30"/>
      <c r="M17" s="3">
        <v>8.5</v>
      </c>
      <c r="N17">
        <v>624.125</v>
      </c>
      <c r="O17" s="3"/>
      <c r="S17" s="3">
        <v>5</v>
      </c>
      <c r="T17">
        <v>135</v>
      </c>
      <c r="U17" s="3"/>
      <c r="Y17" s="3">
        <v>3.25</v>
      </c>
      <c r="Z17">
        <v>44.328125</v>
      </c>
      <c r="AA17" s="3"/>
      <c r="AB17" s="3"/>
      <c r="AC17" s="26"/>
    </row>
    <row r="18" spans="2:29" x14ac:dyDescent="0.25">
      <c r="B18" s="31">
        <v>10</v>
      </c>
      <c r="C18" s="28">
        <v>1010</v>
      </c>
      <c r="L18" s="30"/>
      <c r="M18" s="3">
        <v>10</v>
      </c>
      <c r="N18">
        <v>1010</v>
      </c>
      <c r="O18" s="3"/>
      <c r="S18" s="3">
        <v>6</v>
      </c>
      <c r="T18">
        <v>226</v>
      </c>
      <c r="U18" s="3"/>
      <c r="Y18" s="3">
        <v>4</v>
      </c>
      <c r="Z18">
        <v>74</v>
      </c>
      <c r="AA18" s="3"/>
      <c r="AB18" s="3"/>
      <c r="AC18" s="26"/>
    </row>
    <row r="19" spans="2:29" x14ac:dyDescent="0.25">
      <c r="L19" s="30"/>
      <c r="O19" s="3"/>
      <c r="S19" s="3">
        <v>7</v>
      </c>
      <c r="T19">
        <v>353</v>
      </c>
      <c r="U19" s="3"/>
      <c r="Y19" s="3">
        <v>4.75</v>
      </c>
      <c r="Z19">
        <v>117.171875</v>
      </c>
      <c r="AA19" s="3"/>
      <c r="AB19" s="3"/>
      <c r="AC19" s="26"/>
    </row>
    <row r="20" spans="2:29" x14ac:dyDescent="0.25">
      <c r="L20" s="30"/>
      <c r="O20" s="3"/>
      <c r="S20" s="3">
        <v>8</v>
      </c>
      <c r="T20">
        <v>522</v>
      </c>
      <c r="U20" s="3"/>
      <c r="Y20" s="3">
        <v>5.5</v>
      </c>
      <c r="Z20">
        <v>176.375</v>
      </c>
      <c r="AA20" s="3"/>
      <c r="AB20" s="3"/>
      <c r="AC20" s="26"/>
    </row>
    <row r="21" spans="2:29" x14ac:dyDescent="0.25">
      <c r="H21" s="3"/>
      <c r="L21" s="30"/>
      <c r="O21" s="3"/>
      <c r="S21" s="3">
        <v>9</v>
      </c>
      <c r="T21">
        <v>739</v>
      </c>
      <c r="U21" s="3"/>
      <c r="Y21" s="3">
        <v>6.25</v>
      </c>
      <c r="Z21">
        <v>254.140625</v>
      </c>
      <c r="AA21" s="3"/>
      <c r="AB21" s="3"/>
      <c r="AC21" s="26"/>
    </row>
    <row r="22" spans="2:29" x14ac:dyDescent="0.25">
      <c r="H22" s="3"/>
      <c r="L22" s="30"/>
      <c r="O22" s="3"/>
      <c r="S22" s="3">
        <v>10</v>
      </c>
      <c r="T22">
        <v>1010</v>
      </c>
      <c r="U22" s="3"/>
      <c r="Y22" s="3">
        <v>7</v>
      </c>
      <c r="Z22">
        <v>353</v>
      </c>
      <c r="AA22" s="3"/>
      <c r="AB22" s="3"/>
      <c r="AC22" s="26"/>
    </row>
    <row r="23" spans="2:29" x14ac:dyDescent="0.25">
      <c r="B23" s="14" t="s">
        <v>150</v>
      </c>
      <c r="H23" s="3"/>
      <c r="L23" s="30"/>
      <c r="V23"/>
      <c r="Y23">
        <v>7.75</v>
      </c>
      <c r="Z23">
        <v>475.484375</v>
      </c>
      <c r="AC23" s="26"/>
    </row>
    <row r="24" spans="2:29" x14ac:dyDescent="0.25">
      <c r="B24" s="21" t="s">
        <v>121</v>
      </c>
      <c r="C24" s="25">
        <v>0</v>
      </c>
      <c r="H24" s="3"/>
      <c r="L24" s="30"/>
      <c r="V24"/>
      <c r="Y24">
        <v>8.5</v>
      </c>
      <c r="Z24">
        <v>624.125</v>
      </c>
      <c r="AC24" s="26"/>
    </row>
    <row r="25" spans="2:29" x14ac:dyDescent="0.25">
      <c r="B25" s="22" t="s">
        <v>153</v>
      </c>
      <c r="C25" s="68" cm="1">
        <f t="array" ref="C25">BRISTO.INFINITY()</f>
        <v>1.0000000000000001E+300</v>
      </c>
      <c r="H25" s="3"/>
      <c r="L25" s="30"/>
      <c r="V25"/>
      <c r="Y25">
        <v>9.25</v>
      </c>
      <c r="Z25">
        <v>801.453125</v>
      </c>
      <c r="AC25" s="26"/>
    </row>
    <row r="26" spans="2:29" x14ac:dyDescent="0.25">
      <c r="B26" s="22" t="s">
        <v>143</v>
      </c>
      <c r="C26" s="26">
        <v>12</v>
      </c>
      <c r="H26" s="3"/>
      <c r="L26" s="30"/>
      <c r="V26"/>
      <c r="Y26">
        <v>10</v>
      </c>
      <c r="Z26">
        <v>1010</v>
      </c>
      <c r="AC26" s="26"/>
    </row>
    <row r="27" spans="2:29" x14ac:dyDescent="0.25">
      <c r="B27" s="23" t="s">
        <v>149</v>
      </c>
      <c r="C27" s="37" cm="1">
        <f t="array" ref="C27">BRISTO.INTEGRATE(_xlfn.LAMBDA(_xlpm.x,1/(_xlpm.x+1)^3),C24,C25,C26)</f>
        <v>0.49999999999998873</v>
      </c>
      <c r="H27" s="3"/>
      <c r="L27" s="30"/>
      <c r="V27"/>
      <c r="AC27" s="26"/>
    </row>
    <row r="28" spans="2:29" x14ac:dyDescent="0.25">
      <c r="H28" s="3"/>
      <c r="K28" s="3"/>
      <c r="L28" s="30"/>
      <c r="V28"/>
      <c r="AC28" s="26"/>
    </row>
    <row r="29" spans="2:29" x14ac:dyDescent="0.25">
      <c r="B29" s="14" t="s">
        <v>154</v>
      </c>
      <c r="H29" s="3"/>
      <c r="L29" s="30"/>
      <c r="V29"/>
      <c r="AC29" s="26"/>
    </row>
    <row r="30" spans="2:29" x14ac:dyDescent="0.25">
      <c r="B30" s="21" t="s">
        <v>121</v>
      </c>
      <c r="C30" s="25" cm="1">
        <f t="array" ref="C30">-BRISTO.INFINITY()</f>
        <v>-1.0000000000000001E+300</v>
      </c>
      <c r="H30" s="3"/>
      <c r="L30" s="30"/>
      <c r="V30"/>
      <c r="AC30" s="26"/>
    </row>
    <row r="31" spans="2:29" x14ac:dyDescent="0.25">
      <c r="B31" s="22" t="s">
        <v>153</v>
      </c>
      <c r="C31" s="68" cm="1">
        <f t="array" ref="C31">BRISTO.INFINITY()</f>
        <v>1.0000000000000001E+300</v>
      </c>
      <c r="H31" s="3"/>
      <c r="L31" s="30"/>
      <c r="AC31" s="26"/>
    </row>
    <row r="32" spans="2:29" x14ac:dyDescent="0.25">
      <c r="B32" s="22" t="s">
        <v>143</v>
      </c>
      <c r="C32" s="26">
        <v>12</v>
      </c>
      <c r="H32" s="3"/>
      <c r="L32" s="30"/>
      <c r="AC32" s="26"/>
    </row>
    <row r="33" spans="2:29" x14ac:dyDescent="0.25">
      <c r="B33" s="23" t="s">
        <v>149</v>
      </c>
      <c r="C33" s="37" cm="1">
        <f t="array" ref="C33">BRISTO.INTEGRATE(_xlfn.LAMBDA(_xlpm.x, 1 / (PI() * (1 + _xlpm.x^2))),C30,C31,C32)</f>
        <v>0.99999980487812257</v>
      </c>
      <c r="H33" s="13"/>
      <c r="L33" s="30"/>
      <c r="AC33" s="26"/>
    </row>
    <row r="34" spans="2:29" x14ac:dyDescent="0.25">
      <c r="H34" s="3"/>
      <c r="L34" s="30"/>
      <c r="AC34" s="26"/>
    </row>
    <row r="35" spans="2:29" x14ac:dyDescent="0.25">
      <c r="H35" s="3"/>
      <c r="L35" s="30"/>
      <c r="AC35" s="26"/>
    </row>
    <row r="36" spans="2:29" x14ac:dyDescent="0.25">
      <c r="H36" s="3"/>
      <c r="L36" s="30"/>
      <c r="AC36" s="26"/>
    </row>
    <row r="37" spans="2:29" x14ac:dyDescent="0.25">
      <c r="H37" s="3"/>
      <c r="L37" s="30"/>
      <c r="AC37" s="26"/>
    </row>
    <row r="38" spans="2:29" x14ac:dyDescent="0.25">
      <c r="H38" s="3"/>
      <c r="L38" s="30"/>
      <c r="AC38" s="26"/>
    </row>
    <row r="39" spans="2:29" x14ac:dyDescent="0.25">
      <c r="H39" s="3"/>
      <c r="L39" s="30"/>
      <c r="AC39" s="26"/>
    </row>
    <row r="40" spans="2:29" x14ac:dyDescent="0.25">
      <c r="H40" s="3"/>
      <c r="L40" s="30"/>
      <c r="AC40" s="26"/>
    </row>
    <row r="41" spans="2:29" x14ac:dyDescent="0.25">
      <c r="H41" s="3"/>
      <c r="L41" s="30"/>
      <c r="AC41" s="26"/>
    </row>
    <row r="42" spans="2:29" x14ac:dyDescent="0.25">
      <c r="H42" s="3"/>
      <c r="L42" s="30"/>
      <c r="AC42" s="26"/>
    </row>
    <row r="43" spans="2:29" x14ac:dyDescent="0.25">
      <c r="H43" s="3"/>
      <c r="L43" s="30"/>
      <c r="AC43" s="26"/>
    </row>
    <row r="44" spans="2:29" x14ac:dyDescent="0.25">
      <c r="H44" s="3"/>
      <c r="L44" s="30"/>
      <c r="AC44" s="26"/>
    </row>
    <row r="45" spans="2:29" x14ac:dyDescent="0.25">
      <c r="H45" s="3"/>
      <c r="L45" s="31"/>
      <c r="M45" s="27"/>
      <c r="N45" s="27"/>
      <c r="O45" s="27"/>
      <c r="P45" s="27"/>
      <c r="Q45" s="27"/>
      <c r="R45" s="27"/>
      <c r="S45" s="27"/>
      <c r="T45" s="27"/>
      <c r="U45" s="27"/>
      <c r="V45" s="36"/>
      <c r="W45" s="27"/>
      <c r="X45" s="27"/>
      <c r="Y45" s="27"/>
      <c r="Z45" s="27"/>
      <c r="AA45" s="27"/>
      <c r="AB45" s="27"/>
      <c r="AC45" s="28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555-1651-4740-A885-014252136EED}">
  <dimension ref="A2:V43"/>
  <sheetViews>
    <sheetView showGridLines="0" zoomScale="79" workbookViewId="0">
      <selection activeCell="E13" sqref="E13"/>
    </sheetView>
  </sheetViews>
  <sheetFormatPr defaultRowHeight="15" x14ac:dyDescent="0.25"/>
  <cols>
    <col min="2" max="2" width="18.7109375" bestFit="1" customWidth="1"/>
    <col min="3" max="3" width="10.28515625" bestFit="1" customWidth="1"/>
    <col min="5" max="5" width="13.140625" bestFit="1" customWidth="1"/>
    <col min="6" max="8" width="9.28515625" bestFit="1" customWidth="1"/>
    <col min="9" max="9" width="16.7109375" customWidth="1"/>
    <col min="10" max="10" width="11" bestFit="1" customWidth="1"/>
    <col min="11" max="11" width="13.42578125" bestFit="1" customWidth="1"/>
    <col min="12" max="12" width="10.85546875" bestFit="1" customWidth="1"/>
    <col min="13" max="13" width="13.7109375" bestFit="1" customWidth="1"/>
    <col min="14" max="14" width="13.42578125" bestFit="1" customWidth="1"/>
    <col min="15" max="15" width="9.85546875" bestFit="1" customWidth="1"/>
    <col min="16" max="16" width="17.85546875" bestFit="1" customWidth="1"/>
    <col min="17" max="17" width="13.42578125" bestFit="1" customWidth="1"/>
    <col min="18" max="18" width="9.28515625" bestFit="1" customWidth="1"/>
    <col min="21" max="24" width="10.5703125" bestFit="1" customWidth="1"/>
    <col min="25" max="27" width="9.28515625" bestFit="1" customWidth="1"/>
  </cols>
  <sheetData>
    <row r="2" spans="2:15" x14ac:dyDescent="0.25">
      <c r="B2" s="21" t="s">
        <v>156</v>
      </c>
      <c r="C2" s="25">
        <v>30</v>
      </c>
      <c r="K2" s="70" t="s">
        <v>164</v>
      </c>
      <c r="M2" s="12"/>
    </row>
    <row r="3" spans="2:15" x14ac:dyDescent="0.25">
      <c r="B3" s="22" t="s">
        <v>157</v>
      </c>
      <c r="C3" s="26">
        <v>30</v>
      </c>
      <c r="J3" s="14" t="s">
        <v>163</v>
      </c>
      <c r="K3" s="3" cm="1">
        <f t="array" ref="K3:O3">_xlfn.SEQUENCE(,5)</f>
        <v>1</v>
      </c>
      <c r="L3" s="3">
        <v>2</v>
      </c>
      <c r="M3" s="3">
        <v>3</v>
      </c>
      <c r="N3" s="3">
        <v>4</v>
      </c>
      <c r="O3" s="3">
        <v>5</v>
      </c>
    </row>
    <row r="4" spans="2:15" x14ac:dyDescent="0.25">
      <c r="B4" s="22" t="s">
        <v>158</v>
      </c>
      <c r="C4" s="26">
        <v>0.41670000000000001</v>
      </c>
      <c r="J4" s="3" cm="1">
        <f t="array" ref="J4:J8">_xlfn.SEQUENCE(5)</f>
        <v>1</v>
      </c>
      <c r="K4" s="3" t="str" cm="1">
        <f t="array" ref="K4:O8">IF(_xlfn.ANCHORARRAY(J4)&gt;_xlfn.ANCHORARRAY(K3),"","S"&amp;IF(_xlfn.ANCHORARRAY(K3)-_xlfn.ANCHORARRAY(J4)=0,"",".u^"&amp;_xlfn.ANCHORARRAY(K3)-_xlfn.ANCHORARRAY(J4))&amp;IF(_xlfn.ANCHORARRAY(J4)-1=0,"",".d^"&amp;_xlfn.ANCHORARRAY(J4)-1))</f>
        <v>S</v>
      </c>
      <c r="L4" s="3" t="str">
        <v>S.u^1</v>
      </c>
      <c r="M4" s="3" t="str">
        <v>S.u^2</v>
      </c>
      <c r="N4" s="3" t="str">
        <v>S.u^3</v>
      </c>
      <c r="O4" s="3" t="str">
        <v>S.u^4</v>
      </c>
    </row>
    <row r="5" spans="2:15" x14ac:dyDescent="0.25">
      <c r="B5" s="22" t="s">
        <v>159</v>
      </c>
      <c r="C5" s="26">
        <v>0.05</v>
      </c>
      <c r="J5" s="3">
        <v>2</v>
      </c>
      <c r="K5" s="3" t="str">
        <v/>
      </c>
      <c r="L5" s="3" t="str">
        <v>S.d^1</v>
      </c>
      <c r="M5" s="3" t="str">
        <v>S.u^1.d^1</v>
      </c>
      <c r="N5" s="3" t="str">
        <v>S.u^2.d^1</v>
      </c>
      <c r="O5" s="3" t="str">
        <v>S.u^3.d^1</v>
      </c>
    </row>
    <row r="6" spans="2:15" x14ac:dyDescent="0.25">
      <c r="B6" s="22" t="s">
        <v>160</v>
      </c>
      <c r="C6" s="26">
        <v>0.3</v>
      </c>
      <c r="J6" s="3">
        <v>3</v>
      </c>
      <c r="K6" s="3" t="str">
        <v/>
      </c>
      <c r="L6" s="3" t="str">
        <v/>
      </c>
      <c r="M6" s="3" t="str">
        <v>S.d^2</v>
      </c>
      <c r="N6" s="3" t="str">
        <v>S.u^1.d^2</v>
      </c>
      <c r="O6" s="3" t="str">
        <v>S.u^2.d^2</v>
      </c>
    </row>
    <row r="7" spans="2:15" x14ac:dyDescent="0.25">
      <c r="B7" s="22" t="s">
        <v>161</v>
      </c>
      <c r="C7" s="26">
        <v>20</v>
      </c>
      <c r="J7" s="3">
        <v>4</v>
      </c>
      <c r="K7" s="3" t="str">
        <v/>
      </c>
      <c r="L7" s="3" t="str">
        <v/>
      </c>
      <c r="M7" s="3" t="str">
        <v/>
      </c>
      <c r="N7" s="3" t="str">
        <v>S.d^3</v>
      </c>
      <c r="O7" s="3" t="str">
        <v>S.u^1.d^3</v>
      </c>
    </row>
    <row r="8" spans="2:15" x14ac:dyDescent="0.25">
      <c r="B8" s="23" t="s">
        <v>162</v>
      </c>
      <c r="C8" s="28" t="s">
        <v>31</v>
      </c>
      <c r="J8" s="3">
        <v>5</v>
      </c>
      <c r="K8" s="3" t="str">
        <v/>
      </c>
      <c r="L8" s="3" t="str">
        <v/>
      </c>
      <c r="M8" s="3" t="str">
        <v/>
      </c>
      <c r="N8" s="3" t="str">
        <v/>
      </c>
      <c r="O8" s="3" t="str">
        <v>S.d^4</v>
      </c>
    </row>
    <row r="12" spans="2:15" x14ac:dyDescent="0.25">
      <c r="B12" s="14" t="s">
        <v>143</v>
      </c>
      <c r="C12" s="14" t="s">
        <v>170</v>
      </c>
      <c r="E12" s="14" t="s">
        <v>169</v>
      </c>
    </row>
    <row r="13" spans="2:15" x14ac:dyDescent="0.25">
      <c r="B13" cm="1">
        <f t="array" ref="B13:B42">_xlfn.SEQUENCE(30,,20,25)</f>
        <v>20</v>
      </c>
      <c r="C13" s="12" cm="1">
        <f t="array" ref="C1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)($C$2,$C$3,$C$4,$C$5,$C$6,$C$8,B13)</f>
        <v>1.9655729209946748</v>
      </c>
      <c r="E13" s="12" cm="1">
        <f t="array" ref="E13">BRISTO.OPT_EURO(C2,C8,C4,C3,C5,0,C6,"P")</f>
        <v>1.9941717273931125</v>
      </c>
    </row>
    <row r="14" spans="2:15" x14ac:dyDescent="0.25">
      <c r="B14">
        <v>45</v>
      </c>
      <c r="C14" s="12" cm="1">
        <f t="array" ref="C1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)($C$2,$C$3,$C$4,$C$5,$C$6,$C$8,B14)</f>
        <v>2.0066289214302824</v>
      </c>
      <c r="E14" s="12"/>
    </row>
    <row r="15" spans="2:15" x14ac:dyDescent="0.25">
      <c r="B15">
        <v>70</v>
      </c>
      <c r="C15" s="12" cm="1">
        <f t="array" ref="C1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)($C$2,$C$3,$C$4,$C$5,$C$6,$C$8,B15)</f>
        <v>1.98596102226323</v>
      </c>
      <c r="K15" s="4"/>
    </row>
    <row r="16" spans="2:15" x14ac:dyDescent="0.25">
      <c r="B16">
        <v>95</v>
      </c>
      <c r="C16" s="12" cm="1">
        <f t="array" ref="C1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)($C$2,$C$3,$C$4,$C$5,$C$6,$C$8,B16)</f>
        <v>2.0000645250828692</v>
      </c>
    </row>
    <row r="17" spans="1:3" x14ac:dyDescent="0.25">
      <c r="A17" s="14"/>
      <c r="B17">
        <v>120</v>
      </c>
      <c r="C17" s="12" cm="1">
        <f t="array" ref="C1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)($C$2,$C$3,$C$4,$C$5,$C$6,$C$8,B17)</f>
        <v>1.9893784792065916</v>
      </c>
    </row>
    <row r="18" spans="1:3" x14ac:dyDescent="0.25">
      <c r="B18">
        <v>145</v>
      </c>
      <c r="C18" s="12" cm="1">
        <f t="array" ref="C1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)($C$2,$C$3,$C$4,$C$5,$C$6,$C$8,B18)</f>
        <v>1.9980308686067008</v>
      </c>
    </row>
    <row r="19" spans="1:3" x14ac:dyDescent="0.25">
      <c r="B19">
        <v>170</v>
      </c>
      <c r="C19" s="12" cm="1">
        <f t="array" ref="C1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)($C$2,$C$3,$C$4,$C$5,$C$6,$C$8,B19)</f>
        <v>1.9907872021285222</v>
      </c>
    </row>
    <row r="20" spans="1:3" x14ac:dyDescent="0.25">
      <c r="B20">
        <v>195</v>
      </c>
      <c r="C20" s="12" cm="1">
        <f t="array" ref="C2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)($C$2,$C$3,$C$4,$C$5,$C$6,$C$8,B20)</f>
        <v>1.997040740398504</v>
      </c>
    </row>
    <row r="21" spans="1:3" x14ac:dyDescent="0.25">
      <c r="B21">
        <v>220</v>
      </c>
      <c r="C21" s="12" cm="1">
        <f t="array" ref="C2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)($C$2,$C$3,$C$4,$C$5,$C$6,$C$8,B21)</f>
        <v>1.9915559694035954</v>
      </c>
    </row>
    <row r="22" spans="1:3" x14ac:dyDescent="0.25">
      <c r="B22">
        <v>245</v>
      </c>
      <c r="C22" s="12" cm="1">
        <f t="array" ref="C2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)($C$2,$C$3,$C$4,$C$5,$C$6,$C$8,B22)</f>
        <v>1.996454941544995</v>
      </c>
    </row>
    <row r="23" spans="1:3" x14ac:dyDescent="0.25">
      <c r="B23">
        <v>270</v>
      </c>
      <c r="C23" s="12" cm="1">
        <f t="array" ref="C2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)($C$2,$C$3,$C$4,$C$5,$C$6,$C$8,B23)</f>
        <v>1.9920401423608918</v>
      </c>
    </row>
    <row r="24" spans="1:3" x14ac:dyDescent="0.25">
      <c r="B24">
        <v>295</v>
      </c>
      <c r="C24" s="12" cm="1">
        <f t="array" ref="C2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)($C$2,$C$3,$C$4,$C$5,$C$6,$C$8,B24)</f>
        <v>1.9960677987196398</v>
      </c>
    </row>
    <row r="25" spans="1:3" x14ac:dyDescent="0.25">
      <c r="B25">
        <v>320</v>
      </c>
      <c r="C25" s="12" cm="1">
        <f t="array" ref="C2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)($C$2,$C$3,$C$4,$C$5,$C$6,$C$8,B25)</f>
        <v>1.9923730712665393</v>
      </c>
    </row>
    <row r="26" spans="1:3" x14ac:dyDescent="0.25">
      <c r="B26">
        <v>345</v>
      </c>
      <c r="C26" s="12" cm="1">
        <f t="array" ref="C2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)($C$2,$C$3,$C$4,$C$5,$C$6,$C$8,B26)</f>
        <v>1.9957929100585119</v>
      </c>
    </row>
    <row r="27" spans="1:3" x14ac:dyDescent="0.25">
      <c r="B27">
        <v>370</v>
      </c>
      <c r="C27" s="12" cm="1">
        <f t="array" ref="C2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)($C$2,$C$3,$C$4,$C$5,$C$6,$C$8,B27)</f>
        <v>1.9926160501694683</v>
      </c>
    </row>
    <row r="28" spans="1:3" x14ac:dyDescent="0.25">
      <c r="B28">
        <v>395</v>
      </c>
      <c r="C28" s="12" cm="1">
        <f t="array" ref="C2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)($C$2,$C$3,$C$4,$C$5,$C$6,$C$8,B28)</f>
        <v>1.9955876345554018</v>
      </c>
    </row>
    <row r="29" spans="1:3" x14ac:dyDescent="0.25">
      <c r="B29">
        <v>420</v>
      </c>
      <c r="C29" s="12" cm="1">
        <f t="array" ref="C2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)($C$2,$C$3,$C$4,$C$5,$C$6,$C$8,B29)</f>
        <v>1.9928011943583479</v>
      </c>
    </row>
    <row r="30" spans="1:3" x14ac:dyDescent="0.25">
      <c r="B30">
        <v>445</v>
      </c>
      <c r="C30" s="12" cm="1">
        <f t="array" ref="C3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)($C$2,$C$3,$C$4,$C$5,$C$6,$C$8,B30)</f>
        <v>1.9954285008094177</v>
      </c>
    </row>
    <row r="31" spans="1:3" x14ac:dyDescent="0.25">
      <c r="B31">
        <v>470</v>
      </c>
      <c r="C31" s="12" cm="1">
        <f t="array" ref="C3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)($C$2,$C$3,$C$4,$C$5,$C$6,$C$8,B31)</f>
        <v>1.9929469567427438</v>
      </c>
    </row>
    <row r="32" spans="1:3" x14ac:dyDescent="0.25">
      <c r="B32">
        <v>495</v>
      </c>
      <c r="C32" s="12" cm="1">
        <f t="array" ref="C3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)($C$2,$C$3,$C$4,$C$5,$C$6,$C$8,B32)</f>
        <v>1.9953015230922981</v>
      </c>
    </row>
    <row r="33" spans="2:22" x14ac:dyDescent="0.25">
      <c r="B33">
        <v>520</v>
      </c>
      <c r="C33" s="12" cm="1">
        <f t="array" ref="C3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)($C$2,$C$3,$C$4,$C$5,$C$6,$C$8,B33)</f>
        <v>1.9930646946943662</v>
      </c>
    </row>
    <row r="34" spans="2:22" x14ac:dyDescent="0.25">
      <c r="B34">
        <v>545</v>
      </c>
      <c r="C34" s="12" cm="1">
        <f t="array" ref="C3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)($C$2,$C$3,$C$4,$C$5,$C$6,$C$8,B34)</f>
        <v>1.995197849178231</v>
      </c>
    </row>
    <row r="35" spans="2:22" x14ac:dyDescent="0.25">
      <c r="B35">
        <v>570</v>
      </c>
      <c r="C35" s="12" cm="1">
        <f t="array" ref="C3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)($C$2,$C$3,$C$4,$C$5,$C$6,$C$8,B35)</f>
        <v>1.9931617814301918</v>
      </c>
    </row>
    <row r="36" spans="2:22" x14ac:dyDescent="0.25">
      <c r="B36">
        <v>595</v>
      </c>
      <c r="C36" s="12" cm="1">
        <f t="array" ref="C3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)($C$2,$C$3,$C$4,$C$5,$C$6,$C$8,B36)</f>
        <v>1.9951116029723324</v>
      </c>
    </row>
    <row r="37" spans="2:22" x14ac:dyDescent="0.25">
      <c r="B37">
        <v>620</v>
      </c>
      <c r="C37" s="12" cm="1">
        <f t="array" ref="C3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)($C$2,$C$3,$C$4,$C$5,$C$6,$C$8,B37)</f>
        <v>1.9932432121937238</v>
      </c>
    </row>
    <row r="38" spans="2:22" x14ac:dyDescent="0.25">
      <c r="B38">
        <v>645</v>
      </c>
      <c r="C38" s="12" cm="1">
        <f t="array" ref="C3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)($C$2,$C$3,$C$4,$C$5,$C$6,$C$8,B38)</f>
        <v>1.9950387307683308</v>
      </c>
    </row>
    <row r="39" spans="2:22" x14ac:dyDescent="0.25">
      <c r="B39">
        <v>670</v>
      </c>
      <c r="C39" s="12" cm="1">
        <f t="array" ref="C3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)($C$2,$C$3,$C$4,$C$5,$C$6,$C$8,B39)</f>
        <v>1.9933124913934572</v>
      </c>
    </row>
    <row r="40" spans="2:22" x14ac:dyDescent="0.25">
      <c r="B40">
        <v>695</v>
      </c>
      <c r="C40" s="12" cm="1">
        <f t="array" ref="C4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)($C$2,$C$3,$C$4,$C$5,$C$6,$C$8,B40)</f>
        <v>1.994976345589266</v>
      </c>
    </row>
    <row r="41" spans="2:22" x14ac:dyDescent="0.25">
      <c r="B41">
        <v>720</v>
      </c>
      <c r="C41" s="12" cm="1">
        <f t="array" ref="C4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)($C$2,$C$3,$C$4,$C$5,$C$6,$C$8,B41)</f>
        <v>1.9933721501627359</v>
      </c>
    </row>
    <row r="42" spans="2:22" x14ac:dyDescent="0.25">
      <c r="B42">
        <v>745</v>
      </c>
      <c r="C42" s="12" cm="1">
        <f t="array" ref="C4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)($C$2,$C$3,$C$4,$C$5,$C$6,$C$8,B42)</f>
        <v>1.9949223356128165</v>
      </c>
    </row>
    <row r="43" spans="2:22" x14ac:dyDescent="0.25">
      <c r="S43" s="4"/>
      <c r="V43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1:AP43"/>
  <sheetViews>
    <sheetView topLeftCell="B1" zoomScale="85" zoomScaleNormal="85" workbookViewId="0">
      <selection activeCell="N17" sqref="N17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2" customWidth="1"/>
    <col min="24" max="24" width="10.5703125" customWidth="1"/>
    <col min="25" max="25" width="10.42578125" customWidth="1"/>
    <col min="26" max="26" width="9.140625" bestFit="1" customWidth="1"/>
    <col min="27" max="27" width="11" bestFit="1" customWidth="1"/>
    <col min="28" max="28" width="8.85546875" bestFit="1" customWidth="1"/>
    <col min="29" max="29" width="12.5703125" customWidth="1"/>
    <col min="30" max="30" width="9.85546875" bestFit="1" customWidth="1"/>
    <col min="31" max="31" width="3" bestFit="1" customWidth="1"/>
    <col min="32" max="33" width="12" bestFit="1" customWidth="1"/>
    <col min="34" max="34" width="9.5703125" bestFit="1" customWidth="1"/>
    <col min="35" max="35" width="4" bestFit="1" customWidth="1"/>
    <col min="36" max="36" width="12" bestFit="1" customWidth="1"/>
    <col min="37" max="37" width="7.5703125" bestFit="1" customWidth="1"/>
    <col min="38" max="38" width="6.5703125" bestFit="1" customWidth="1"/>
    <col min="39" max="39" width="3" bestFit="1" customWidth="1"/>
    <col min="40" max="41" width="12" bestFit="1" customWidth="1"/>
    <col min="42" max="42" width="10.140625" bestFit="1" customWidth="1"/>
  </cols>
  <sheetData>
    <row r="1" spans="2:42" x14ac:dyDescent="0.25">
      <c r="B1" t="s">
        <v>45</v>
      </c>
      <c r="C1">
        <v>1</v>
      </c>
      <c r="F1" s="14" t="s">
        <v>5</v>
      </c>
      <c r="G1" s="14" t="s">
        <v>41</v>
      </c>
      <c r="H1" s="14" t="s">
        <v>42</v>
      </c>
      <c r="I1" s="14" t="s">
        <v>43</v>
      </c>
      <c r="J1" s="14" t="s">
        <v>35</v>
      </c>
      <c r="K1" s="14" t="s">
        <v>36</v>
      </c>
      <c r="L1" s="14" t="s">
        <v>13</v>
      </c>
      <c r="M1" s="14" t="s">
        <v>44</v>
      </c>
      <c r="T1" s="13"/>
      <c r="U1" s="13"/>
      <c r="V1" s="13"/>
      <c r="W1" s="13"/>
      <c r="X1" s="13"/>
    </row>
    <row r="2" spans="2:42" x14ac:dyDescent="0.25">
      <c r="B2" t="s">
        <v>46</v>
      </c>
      <c r="C2">
        <f>C1+1</f>
        <v>2</v>
      </c>
      <c r="E2">
        <v>1</v>
      </c>
      <c r="F2" s="2">
        <v>45982</v>
      </c>
      <c r="G2" s="2">
        <f>EOMONTH(F2,E2-1)+1</f>
        <v>45992</v>
      </c>
      <c r="H2" t="str">
        <f>"DI1"&amp;_xlfn.XLOOKUP(MONTH(G2),$C$1:$C$12,$B$1:$B$12,"",0)&amp;YEAR(G2)</f>
        <v>DI1Z2025</v>
      </c>
      <c r="I2" s="3">
        <v>14.9</v>
      </c>
      <c r="J2" s="2">
        <v>45989</v>
      </c>
      <c r="K2" s="6" cm="1">
        <f t="array" ref="K2">BRISTO.BDAYS(F2,J2,holiday_br[])</f>
        <v>5</v>
      </c>
      <c r="L2">
        <f>K2/252</f>
        <v>1.984126984126984E-2</v>
      </c>
      <c r="M2">
        <f>(1+I2/100)^L2</f>
        <v>1.0027595943180705</v>
      </c>
      <c r="T2" s="13"/>
      <c r="U2" s="13"/>
      <c r="V2" s="13"/>
      <c r="W2" s="13"/>
      <c r="X2" s="13"/>
    </row>
    <row r="3" spans="2:42" x14ac:dyDescent="0.25">
      <c r="B3" t="s">
        <v>47</v>
      </c>
      <c r="C3">
        <f t="shared" ref="C3:C12" si="0">C2+1</f>
        <v>3</v>
      </c>
      <c r="E3">
        <f>E2+1</f>
        <v>2</v>
      </c>
      <c r="F3" s="2">
        <v>45982</v>
      </c>
      <c r="G3" s="2">
        <f t="shared" ref="G3:G11" si="1">EOMONTH(F3,E3-1)+1</f>
        <v>46023</v>
      </c>
      <c r="H3" t="str">
        <f t="shared" ref="H3:H11" si="2">"DI1"&amp;_xlfn.XLOOKUP(MONTH(G3),$C$1:$C$12,$B$1:$B$12,"",0)&amp;YEAR(G3)</f>
        <v>DI1F2026</v>
      </c>
      <c r="I3">
        <v>14.895</v>
      </c>
      <c r="J3" s="2">
        <v>46022</v>
      </c>
      <c r="K3" s="6" cm="1">
        <f t="array" ref="K3">BRISTO.BDAYS(F3,J3,holiday_br[])</f>
        <v>27</v>
      </c>
      <c r="L3">
        <f t="shared" ref="L3:L11" si="3">K3/252</f>
        <v>0.10714285714285714</v>
      </c>
      <c r="M3">
        <f t="shared" ref="M3:M11" si="4">(1+I3/100)^L3</f>
        <v>1.0149878307895897</v>
      </c>
      <c r="T3" s="13"/>
      <c r="U3" s="13"/>
      <c r="V3" s="13"/>
      <c r="W3" s="13"/>
      <c r="X3" s="13"/>
    </row>
    <row r="4" spans="2:42" x14ac:dyDescent="0.25">
      <c r="B4" t="s">
        <v>48</v>
      </c>
      <c r="C4">
        <f t="shared" si="0"/>
        <v>4</v>
      </c>
      <c r="E4">
        <f t="shared" ref="E4:E11" si="5">E3+1</f>
        <v>3</v>
      </c>
      <c r="F4" s="2">
        <v>45982</v>
      </c>
      <c r="G4" s="2">
        <f t="shared" si="1"/>
        <v>46054</v>
      </c>
      <c r="H4" t="str">
        <f t="shared" si="2"/>
        <v>DI1G2026</v>
      </c>
      <c r="I4">
        <v>14.894</v>
      </c>
      <c r="J4" s="2">
        <v>46052</v>
      </c>
      <c r="K4" s="6" cm="1">
        <f t="array" ref="K4">BRISTO.BDAYS(F4,J4,holiday_br[])</f>
        <v>48</v>
      </c>
      <c r="L4">
        <f t="shared" si="3"/>
        <v>0.19047619047619047</v>
      </c>
      <c r="M4">
        <f t="shared" si="4"/>
        <v>1.0267984618751003</v>
      </c>
      <c r="T4" s="13"/>
      <c r="U4" s="13"/>
      <c r="V4" s="13"/>
      <c r="W4" s="13"/>
      <c r="X4" s="13"/>
    </row>
    <row r="5" spans="2:42" x14ac:dyDescent="0.25">
      <c r="B5" t="s">
        <v>49</v>
      </c>
      <c r="C5">
        <f t="shared" si="0"/>
        <v>5</v>
      </c>
      <c r="E5">
        <f t="shared" si="5"/>
        <v>4</v>
      </c>
      <c r="F5" s="2">
        <v>45982</v>
      </c>
      <c r="G5" s="2">
        <f t="shared" si="1"/>
        <v>46082</v>
      </c>
      <c r="H5" t="str">
        <f t="shared" si="2"/>
        <v>DI1H2026</v>
      </c>
      <c r="I5">
        <v>14.845000000000001</v>
      </c>
      <c r="J5" s="2">
        <v>46080</v>
      </c>
      <c r="K5" s="6" cm="1">
        <f t="array" ref="K5">BRISTO.BDAYS(F5,J5,holiday_br[])</f>
        <v>66</v>
      </c>
      <c r="L5">
        <f t="shared" si="3"/>
        <v>0.26190476190476192</v>
      </c>
      <c r="M5">
        <f t="shared" si="4"/>
        <v>1.0369161607121695</v>
      </c>
      <c r="S5" s="5"/>
    </row>
    <row r="6" spans="2:42" x14ac:dyDescent="0.25">
      <c r="B6" t="s">
        <v>50</v>
      </c>
      <c r="C6">
        <f t="shared" si="0"/>
        <v>6</v>
      </c>
      <c r="E6">
        <f t="shared" si="5"/>
        <v>5</v>
      </c>
      <c r="F6" s="2">
        <v>45982</v>
      </c>
      <c r="G6" s="2">
        <f t="shared" si="1"/>
        <v>46113</v>
      </c>
      <c r="H6" t="str">
        <f t="shared" si="2"/>
        <v>DI1J2026</v>
      </c>
      <c r="I6">
        <v>14.775</v>
      </c>
      <c r="J6" s="2">
        <v>46112</v>
      </c>
      <c r="K6" s="6" cm="1">
        <f t="array" ref="K6">BRISTO.BDAYS(F6,J6,holiday_br[])</f>
        <v>88</v>
      </c>
      <c r="L6">
        <f t="shared" si="3"/>
        <v>0.34920634920634919</v>
      </c>
      <c r="M6">
        <f t="shared" si="4"/>
        <v>1.0492985135724895</v>
      </c>
    </row>
    <row r="7" spans="2:42" x14ac:dyDescent="0.25">
      <c r="B7" t="s">
        <v>51</v>
      </c>
      <c r="C7">
        <f t="shared" si="0"/>
        <v>7</v>
      </c>
      <c r="E7">
        <f t="shared" si="5"/>
        <v>6</v>
      </c>
      <c r="F7" s="2">
        <v>45982</v>
      </c>
      <c r="G7" s="2">
        <f t="shared" si="1"/>
        <v>46143</v>
      </c>
      <c r="H7" t="str">
        <f t="shared" si="2"/>
        <v>DI1K2026</v>
      </c>
      <c r="I7">
        <v>14.68</v>
      </c>
      <c r="J7" s="2">
        <v>46142</v>
      </c>
      <c r="K7" s="6" cm="1">
        <f t="array" ref="K7">BRISTO.BDAYS(F7,J7,holiday_br[])</f>
        <v>108</v>
      </c>
      <c r="L7">
        <f t="shared" si="3"/>
        <v>0.42857142857142855</v>
      </c>
      <c r="M7">
        <f t="shared" si="4"/>
        <v>1.060461050053632</v>
      </c>
      <c r="S7" s="13"/>
    </row>
    <row r="8" spans="2:42" x14ac:dyDescent="0.25">
      <c r="B8" t="s">
        <v>52</v>
      </c>
      <c r="C8">
        <f t="shared" si="0"/>
        <v>8</v>
      </c>
      <c r="E8">
        <f t="shared" si="5"/>
        <v>7</v>
      </c>
      <c r="F8" s="2">
        <v>45982</v>
      </c>
      <c r="G8" s="2">
        <f t="shared" si="1"/>
        <v>46174</v>
      </c>
      <c r="H8" t="str">
        <f t="shared" si="2"/>
        <v>DI1M2026</v>
      </c>
      <c r="I8">
        <v>14.54</v>
      </c>
      <c r="J8" s="2">
        <v>46171</v>
      </c>
      <c r="K8" s="6" cm="1">
        <f t="array" ref="K8">BRISTO.BDAYS(F8,J8,holiday_br[])</f>
        <v>128</v>
      </c>
      <c r="L8">
        <f t="shared" si="3"/>
        <v>0.50793650793650791</v>
      </c>
      <c r="M8">
        <f t="shared" si="4"/>
        <v>1.0713873233723397</v>
      </c>
      <c r="S8" s="13"/>
    </row>
    <row r="9" spans="2:42" x14ac:dyDescent="0.25">
      <c r="B9" t="s">
        <v>53</v>
      </c>
      <c r="C9">
        <f t="shared" si="0"/>
        <v>9</v>
      </c>
      <c r="E9">
        <f t="shared" si="5"/>
        <v>8</v>
      </c>
      <c r="F9" s="2">
        <v>45982</v>
      </c>
      <c r="G9" s="2">
        <f t="shared" si="1"/>
        <v>46204</v>
      </c>
      <c r="H9" t="str">
        <f t="shared" si="2"/>
        <v>DI1N2026</v>
      </c>
      <c r="I9">
        <v>14.414999999999999</v>
      </c>
      <c r="J9" s="2">
        <v>46203</v>
      </c>
      <c r="K9" s="6" cm="1">
        <f t="array" ref="K9">BRISTO.BDAYS(F9,J9,holiday_br[])</f>
        <v>149</v>
      </c>
      <c r="L9">
        <f t="shared" si="3"/>
        <v>0.59126984126984128</v>
      </c>
      <c r="M9">
        <f t="shared" si="4"/>
        <v>1.0828772091264154</v>
      </c>
      <c r="S9" s="13"/>
    </row>
    <row r="10" spans="2:42" x14ac:dyDescent="0.25">
      <c r="B10" t="s">
        <v>54</v>
      </c>
      <c r="C10">
        <f t="shared" si="0"/>
        <v>10</v>
      </c>
      <c r="E10">
        <f t="shared" si="5"/>
        <v>9</v>
      </c>
      <c r="F10" s="2">
        <v>45982</v>
      </c>
      <c r="G10" s="2">
        <f t="shared" si="1"/>
        <v>46235</v>
      </c>
      <c r="H10" t="str">
        <f t="shared" si="2"/>
        <v>DI1Q2026</v>
      </c>
      <c r="I10">
        <v>14.28</v>
      </c>
      <c r="J10" s="2">
        <v>46234</v>
      </c>
      <c r="K10" s="6" cm="1">
        <f t="array" ref="K10">BRISTO.BDAYS(F10,J10,holiday_br[])</f>
        <v>172</v>
      </c>
      <c r="L10">
        <f t="shared" si="3"/>
        <v>0.68253968253968256</v>
      </c>
      <c r="M10">
        <f t="shared" si="4"/>
        <v>1.0953854894705597</v>
      </c>
      <c r="S10" s="13"/>
    </row>
    <row r="11" spans="2:42" x14ac:dyDescent="0.25">
      <c r="B11" t="s">
        <v>55</v>
      </c>
      <c r="C11">
        <f t="shared" si="0"/>
        <v>11</v>
      </c>
      <c r="E11">
        <f t="shared" si="5"/>
        <v>10</v>
      </c>
      <c r="F11" s="2">
        <v>45982</v>
      </c>
      <c r="G11" s="2">
        <f t="shared" si="1"/>
        <v>46266</v>
      </c>
      <c r="H11" t="str">
        <f t="shared" si="2"/>
        <v>DI1U2026</v>
      </c>
      <c r="I11">
        <v>14.14</v>
      </c>
      <c r="J11" s="2">
        <v>46265</v>
      </c>
      <c r="K11" s="6" cm="1">
        <f t="array" ref="K11">BRISTO.BDAYS(F11,J11,holiday_br[])</f>
        <v>193</v>
      </c>
      <c r="L11">
        <f t="shared" si="3"/>
        <v>0.76587301587301593</v>
      </c>
      <c r="M11">
        <f t="shared" si="4"/>
        <v>1.1065985921458159</v>
      </c>
    </row>
    <row r="12" spans="2:42" x14ac:dyDescent="0.25">
      <c r="B12" t="s">
        <v>56</v>
      </c>
      <c r="C12">
        <f t="shared" si="0"/>
        <v>12</v>
      </c>
      <c r="O12" s="16"/>
      <c r="P12" s="16"/>
      <c r="Q12" s="16"/>
      <c r="R12" s="16"/>
      <c r="S12" s="16"/>
    </row>
    <row r="13" spans="2:42" x14ac:dyDescent="0.25">
      <c r="O13" s="16"/>
      <c r="P13" s="16"/>
      <c r="Q13" s="16"/>
      <c r="R13" s="16"/>
      <c r="S13" s="16"/>
    </row>
    <row r="14" spans="2:42" x14ac:dyDescent="0.25">
      <c r="O14" s="16"/>
      <c r="P14" s="16"/>
      <c r="Q14" s="16"/>
      <c r="R14" s="16"/>
      <c r="S14" s="16"/>
    </row>
    <row r="15" spans="2:42" x14ac:dyDescent="0.25">
      <c r="AD15" s="71" t="s">
        <v>33</v>
      </c>
      <c r="AE15" s="71"/>
      <c r="AF15" s="71"/>
      <c r="AG15" s="71"/>
      <c r="AH15" s="71" t="s">
        <v>34</v>
      </c>
      <c r="AI15" s="71"/>
      <c r="AJ15" s="71"/>
      <c r="AK15" s="71"/>
    </row>
    <row r="16" spans="2:42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4" t="s">
        <v>18</v>
      </c>
      <c r="N16" s="14" t="s">
        <v>85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166</v>
      </c>
      <c r="Y16" s="1" t="s">
        <v>27</v>
      </c>
      <c r="Z16" s="1" t="s">
        <v>28</v>
      </c>
      <c r="AA16" s="1" t="s">
        <v>29</v>
      </c>
      <c r="AB16" s="1" t="s">
        <v>30</v>
      </c>
      <c r="AD16" s="1" t="s">
        <v>35</v>
      </c>
      <c r="AE16" s="1" t="s">
        <v>36</v>
      </c>
      <c r="AF16" s="1" t="s">
        <v>13</v>
      </c>
      <c r="AG16" s="1" t="s">
        <v>37</v>
      </c>
      <c r="AH16" s="1" t="s">
        <v>35</v>
      </c>
      <c r="AI16" s="1" t="s">
        <v>36</v>
      </c>
      <c r="AJ16" s="1" t="s">
        <v>13</v>
      </c>
      <c r="AK16" s="1" t="s">
        <v>37</v>
      </c>
      <c r="AL16" s="1" t="s">
        <v>38</v>
      </c>
      <c r="AP16" s="14" t="s">
        <v>39</v>
      </c>
    </row>
    <row r="17" spans="2:42" x14ac:dyDescent="0.25"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5">
        <f>L17/I17*LN(1+K17)</f>
        <v>0.14006001240514299</v>
      </c>
      <c r="N17" s="5">
        <f>LN(1+G17)</f>
        <v>4.8790164169432049E-2</v>
      </c>
      <c r="O17" s="5">
        <f>M17-N17</f>
        <v>9.1269848235710938E-2</v>
      </c>
      <c r="P17">
        <f>(LN(C17/F17) + ((M17-N17) + (H17^2)/2)*J17) / (H17*SQRT(J17))</f>
        <v>0.32161390232759507</v>
      </c>
      <c r="Q17" s="7">
        <f t="shared" ref="Q17:Q20" si="6">P17-H17*SQRT(J17)</f>
        <v>0.17138635824862133</v>
      </c>
      <c r="R17">
        <f>IF(D17="C",1,-1)</f>
        <v>-1</v>
      </c>
      <c r="S17" s="10">
        <f>(C17*EXP(-N17*J17)*_xlfn.NORM.S.DIST(P17*R17,TRUE)*R17-F17*EXP(-M17*J17)*_xlfn.NORM.S.DIST(Q17*R17,TRUE)*R17)</f>
        <v>1.3536688595565973</v>
      </c>
      <c r="T17" s="11">
        <f>(_xlfn.NORM.S.DIST(P17, TRUE)-IF(D17="P",1,0))*EXP(-N17*J17)</f>
        <v>-0.3668456395588382</v>
      </c>
      <c r="U17" s="5">
        <f>(_xlfn.NORM.S.DIST(P17,FALSE)/(C17*H17*SQRT(J17)))*EXP(-N17*J17)</f>
        <v>7.6016608331291896E-2</v>
      </c>
      <c r="V17" s="12">
        <f>_xlfn.NORM.S.DIST(P17,FALSE)*C17*SQRT(J17)*EXP(-N17*J17)</f>
        <v>7.5452356716946092</v>
      </c>
      <c r="W17" s="12">
        <f>((-C17*EXP(-N17*J17)*_xlfn.NORM.S.DIST(P17,FALSE)*H17)/(2*SQRT(J17))-R17*M17*F17*EXP(-M17*J17)*_xlfn.NORM.S.DIST(R17*Q17,TRUE)+R17*N17*C17*EXP(-N17*J17)*_xlfn.NORM.S.DIST(R17*P17,TRUE))/252</f>
        <v>-4.1965986153027794E-3</v>
      </c>
      <c r="X17" s="13">
        <f>R17*F17*J17*EXP(-M17*J17)*_xlfn.NORM.S.DIST(R17*Q17,TRUE)/100</f>
        <v>-5.170081166132081E-2</v>
      </c>
      <c r="Y17" s="13">
        <v>5.4032</v>
      </c>
      <c r="Z17" s="6">
        <v>1000000</v>
      </c>
      <c r="AA17" s="3">
        <f>Z17*U17*C17*1%*C17/Y17</f>
        <v>149059.4213956999</v>
      </c>
      <c r="AB17" s="6">
        <f>Z17*T17</f>
        <v>-366845.63955883821</v>
      </c>
      <c r="AD17" s="2" cm="1">
        <f t="array" ref="AD17:AG17">_xlfn.XLOOKUP(E17,$J$2:$J$11,$J$2:$M$11,"",-1)</f>
        <v>46112</v>
      </c>
      <c r="AE17">
        <v>88</v>
      </c>
      <c r="AF17">
        <v>0.34920634920634919</v>
      </c>
      <c r="AG17">
        <v>1.0492985135724895</v>
      </c>
      <c r="AH17" s="2" cm="1">
        <f t="array" ref="AH17:AK17">_xlfn.XLOOKUP(E17,$J$2:$J$11,$J$2:$M$11,"",1)</f>
        <v>46142</v>
      </c>
      <c r="AI17">
        <v>108</v>
      </c>
      <c r="AJ17">
        <v>0.42857142857142855</v>
      </c>
      <c r="AK17" s="12">
        <v>1.060461050053632</v>
      </c>
      <c r="AL17" s="13">
        <f>AK17/AG17</f>
        <v>1.0106380942474968</v>
      </c>
      <c r="AM17" s="6">
        <v>11</v>
      </c>
      <c r="AN17">
        <f>AL17^(AM17/(AI17-AE17))</f>
        <v>1.0058370187089534</v>
      </c>
      <c r="AO17">
        <f>AN17*AG17</f>
        <v>1.055423288627489</v>
      </c>
      <c r="AP17" s="15">
        <f>AO17^(252/(AE17+AM17))-1</f>
        <v>0.14717990560500693</v>
      </c>
    </row>
    <row r="18" spans="2:42" x14ac:dyDescent="0.25"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5">
        <f t="shared" ref="M18:M20" si="7">L18/I18*LN(1+K18)</f>
        <v>0.14006001240514299</v>
      </c>
      <c r="N18" s="5">
        <f t="shared" ref="N18:N20" si="8">LN(1+G18)</f>
        <v>0</v>
      </c>
      <c r="O18" s="5">
        <f t="shared" ref="O18:O20" si="9">M18-N18</f>
        <v>0.14006001240514299</v>
      </c>
      <c r="P18">
        <f t="shared" ref="P18:P20" si="10">(LN(C18/F18) + ((M18-N18) + (H18^2)/2)*J18) / (H18*SQRT(J18))</f>
        <v>0.44791532627008068</v>
      </c>
      <c r="Q18" s="7">
        <f t="shared" si="6"/>
        <v>0.29768778219110692</v>
      </c>
      <c r="R18">
        <f>IF(D18="C",1,-1)</f>
        <v>1</v>
      </c>
      <c r="S18" s="10">
        <f t="shared" ref="S18:S20" si="11">(C18*EXP(-N18*J18)*_xlfn.NORM.S.DIST(P18*R18,TRUE)*R18-F18*EXP(-M18*J18)*_xlfn.NORM.S.DIST(Q18*R18,TRUE)*R18)</f>
        <v>2.9122641694236968</v>
      </c>
      <c r="T18" s="11">
        <f t="shared" ref="T18:T20" si="12">(_xlfn.NORM.S.DIST(P18, TRUE)-IF(D18="P",1,0))*EXP(-N18*J18)</f>
        <v>0.67289284652870363</v>
      </c>
      <c r="U18" s="5">
        <f t="shared" ref="U18:U20" si="13">(_xlfn.NORM.S.DIST(P18,FALSE)/(C18*H18*SQRT(J18)))*EXP(-N18*J18)</f>
        <v>7.3797841347946175E-2</v>
      </c>
      <c r="V18" s="12">
        <f t="shared" ref="V18:V20" si="14">_xlfn.NORM.S.DIST(P18,FALSE)*C18*SQRT(J18)*EXP(-N18*J18)</f>
        <v>7.3250059066811799</v>
      </c>
      <c r="W18" s="12">
        <f t="shared" ref="W18:W20" si="15">((-C18*EXP(-N18*J18)*_xlfn.NORM.S.DIST(P18,FALSE)*H18)/(2*SQRT(J18))-R18*M18*F18*EXP(-M18*J18)*_xlfn.NORM.S.DIST(R18*Q18,TRUE)+R18*N18*C18*EXP(-N18*J18)*_xlfn.NORM.S.DIST(R18*P18,TRUE))/252</f>
        <v>-1.9557773779967865E-2</v>
      </c>
      <c r="X18" s="13">
        <f t="shared" ref="X18:X20" si="16">R18*F18*J18*EXP(-M18*J18)*_xlfn.NORM.S.DIST(R18*Q18,TRUE)/100</f>
        <v>7.3851547719777338E-2</v>
      </c>
      <c r="Y18" s="13">
        <v>5.4032</v>
      </c>
      <c r="Z18" s="6">
        <v>1000000</v>
      </c>
      <c r="AA18" s="3">
        <f>Z18*U18*C18*1%*C18/Y18</f>
        <v>144708.68633911817</v>
      </c>
      <c r="AB18" s="6">
        <f>Z18*T18</f>
        <v>672892.84652870358</v>
      </c>
      <c r="AD18" s="2" cm="1">
        <f t="array" ref="AD18:AG18">_xlfn.XLOOKUP(E18,$J$2:$J$11,$J$2:$M$11,"",-1)</f>
        <v>46112</v>
      </c>
      <c r="AE18">
        <v>88</v>
      </c>
      <c r="AF18">
        <v>0.34920634920634919</v>
      </c>
      <c r="AG18">
        <v>1.0492985135724895</v>
      </c>
      <c r="AH18" s="2" cm="1">
        <f t="array" ref="AH18:AK18">_xlfn.XLOOKUP(E18,$J$2:$J$11,$J$2:$M$11,"",1)</f>
        <v>46142</v>
      </c>
      <c r="AI18">
        <v>108</v>
      </c>
      <c r="AJ18">
        <v>0.42857142857142855</v>
      </c>
      <c r="AK18" s="12">
        <v>1.060461050053632</v>
      </c>
      <c r="AL18" s="13">
        <f>AK18/AG18</f>
        <v>1.0106380942474968</v>
      </c>
      <c r="AM18" s="6">
        <v>11</v>
      </c>
      <c r="AN18">
        <f>AL18^(AM18/(AI18-AE18))</f>
        <v>1.0058370187089534</v>
      </c>
      <c r="AO18">
        <f>AN18*AG18</f>
        <v>1.055423288627489</v>
      </c>
      <c r="AP18" s="15">
        <f>AO18^(252/(AE18+AM18))-1</f>
        <v>0.14717990560500693</v>
      </c>
    </row>
    <row r="19" spans="2:42" x14ac:dyDescent="0.25"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5">
        <f t="shared" si="7"/>
        <v>0.14006001240514299</v>
      </c>
      <c r="N19" s="5">
        <f t="shared" si="8"/>
        <v>0</v>
      </c>
      <c r="O19" s="5">
        <f t="shared" si="9"/>
        <v>0.14006001240514299</v>
      </c>
      <c r="P19">
        <f t="shared" si="10"/>
        <v>-0.94825206878691748</v>
      </c>
      <c r="Q19" s="7">
        <f t="shared" si="6"/>
        <v>-1.107833756332826</v>
      </c>
      <c r="R19">
        <f>IF(D19="C",1,-1)</f>
        <v>-1</v>
      </c>
      <c r="S19" s="10">
        <f t="shared" si="11"/>
        <v>6.2473624302637489</v>
      </c>
      <c r="T19" s="11">
        <f t="shared" si="12"/>
        <v>-0.82849942725574388</v>
      </c>
      <c r="U19" s="5">
        <f t="shared" si="13"/>
        <v>4.899154461682699E-2</v>
      </c>
      <c r="V19" s="12">
        <f t="shared" si="14"/>
        <v>5.1655781791054505</v>
      </c>
      <c r="W19" s="12">
        <f t="shared" si="15"/>
        <v>1.171645606549989E-2</v>
      </c>
      <c r="X19" s="13">
        <f t="shared" si="16"/>
        <v>-0.12916951750670413</v>
      </c>
      <c r="Y19" s="13">
        <v>5.4032</v>
      </c>
      <c r="Z19" s="6">
        <v>1000000</v>
      </c>
      <c r="AA19" s="3">
        <f>Z19*U19*C19*1%*C19/Y19</f>
        <v>96066.523542326278</v>
      </c>
      <c r="AB19" s="6">
        <f>Z19*T19</f>
        <v>-828499.42725574388</v>
      </c>
      <c r="AD19" s="2" cm="1">
        <f t="array" ref="AD19:AG19">_xlfn.XLOOKUP(E19,$J$2:$J$11,$J$2:$M$11,"",-1)</f>
        <v>46112</v>
      </c>
      <c r="AE19">
        <v>88</v>
      </c>
      <c r="AF19">
        <v>0.34920634920634919</v>
      </c>
      <c r="AG19">
        <v>1.0492985135724895</v>
      </c>
      <c r="AH19" s="2" cm="1">
        <f t="array" ref="AH19:AK19">_xlfn.XLOOKUP(E19,$J$2:$J$11,$J$2:$M$11,"",1)</f>
        <v>46142</v>
      </c>
      <c r="AI19">
        <v>108</v>
      </c>
      <c r="AJ19">
        <v>0.42857142857142855</v>
      </c>
      <c r="AK19" s="12">
        <v>1.060461050053632</v>
      </c>
      <c r="AL19" s="13">
        <f>AK19/AG19</f>
        <v>1.0106380942474968</v>
      </c>
      <c r="AM19" s="6">
        <v>11</v>
      </c>
      <c r="AN19">
        <f>AL19^(AM19/(AI19-AE19))</f>
        <v>1.0058370187089534</v>
      </c>
      <c r="AO19">
        <f>AN19*AG19</f>
        <v>1.055423288627489</v>
      </c>
      <c r="AP19" s="15">
        <f>AO19^(252/(AE19+AM19))-1</f>
        <v>0.14717990560500693</v>
      </c>
    </row>
    <row r="20" spans="2:42" x14ac:dyDescent="0.25"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5">
        <f t="shared" si="7"/>
        <v>0.14006001240514299</v>
      </c>
      <c r="N20" s="5">
        <f t="shared" si="8"/>
        <v>4.8790164169432049E-2</v>
      </c>
      <c r="O20" s="5">
        <f t="shared" si="9"/>
        <v>9.1269848235710938E-2</v>
      </c>
      <c r="P20">
        <f t="shared" si="10"/>
        <v>-1.0671501267304297</v>
      </c>
      <c r="Q20" s="7">
        <f t="shared" si="6"/>
        <v>-1.2267318142763384</v>
      </c>
      <c r="R20">
        <f>IF(D20="C",1,-1)</f>
        <v>1</v>
      </c>
      <c r="S20" s="10">
        <f t="shared" si="11"/>
        <v>0.3482659645926649</v>
      </c>
      <c r="T20" s="11">
        <f t="shared" si="12"/>
        <v>0.14026522989850693</v>
      </c>
      <c r="U20" s="5">
        <f t="shared" si="13"/>
        <v>4.2642869268756961E-2</v>
      </c>
      <c r="V20" s="12">
        <f t="shared" si="14"/>
        <v>4.4961855502200283</v>
      </c>
      <c r="W20" s="12">
        <f t="shared" si="15"/>
        <v>-7.3303007707029846E-3</v>
      </c>
      <c r="X20" s="13">
        <f t="shared" si="16"/>
        <v>1.6400872711236747E-2</v>
      </c>
      <c r="Y20" s="13">
        <v>5.4032</v>
      </c>
      <c r="Z20" s="6">
        <v>1000000</v>
      </c>
      <c r="AA20" s="3">
        <f>Z20*U20*C20*1%*C20/Y20</f>
        <v>83617.535159574283</v>
      </c>
      <c r="AB20" s="6">
        <f>Z20*T20</f>
        <v>140265.22989850692</v>
      </c>
      <c r="AD20" s="2" cm="1">
        <f t="array" ref="AD20:AG20">_xlfn.XLOOKUP(E20,$J$2:$J$11,$J$2:$M$11,"",-1)</f>
        <v>46112</v>
      </c>
      <c r="AE20">
        <v>88</v>
      </c>
      <c r="AF20">
        <v>0.34920634920634919</v>
      </c>
      <c r="AG20">
        <v>1.0492985135724895</v>
      </c>
      <c r="AH20" s="2" cm="1">
        <f t="array" ref="AH20:AK20">_xlfn.XLOOKUP(E20,$J$2:$J$11,$J$2:$M$11,"",1)</f>
        <v>46142</v>
      </c>
      <c r="AI20">
        <v>108</v>
      </c>
      <c r="AJ20">
        <v>0.42857142857142855</v>
      </c>
      <c r="AK20" s="12">
        <v>1.060461050053632</v>
      </c>
      <c r="AL20" s="13">
        <f>AK20/AG20</f>
        <v>1.0106380942474968</v>
      </c>
      <c r="AM20" s="6">
        <v>11</v>
      </c>
      <c r="AN20">
        <f>AL20^(AM20/(AI20-AE20))</f>
        <v>1.0058370187089534</v>
      </c>
      <c r="AO20">
        <f>AN20*AG20</f>
        <v>1.055423288627489</v>
      </c>
      <c r="AP20" s="15">
        <f>AO20^(252/(AE20+AM20))-1</f>
        <v>0.14717990560500693</v>
      </c>
    </row>
    <row r="21" spans="2:42" x14ac:dyDescent="0.25">
      <c r="S21" s="13"/>
      <c r="T21" s="13"/>
      <c r="U21" s="13"/>
      <c r="V21" s="13"/>
      <c r="W21" s="13"/>
      <c r="X21" s="13"/>
      <c r="Y21" s="13"/>
      <c r="Z21" s="13"/>
      <c r="AA21" s="13"/>
      <c r="AB21" s="13"/>
    </row>
    <row r="22" spans="2:42" x14ac:dyDescent="0.25">
      <c r="B22" s="1" t="s">
        <v>5</v>
      </c>
      <c r="C22" s="1" t="s">
        <v>6</v>
      </c>
      <c r="D22" s="1" t="s">
        <v>7</v>
      </c>
      <c r="E22" s="1" t="s">
        <v>8</v>
      </c>
      <c r="F22" s="1" t="s">
        <v>9</v>
      </c>
      <c r="G22" s="1" t="s">
        <v>10</v>
      </c>
      <c r="H22" s="1" t="s">
        <v>11</v>
      </c>
      <c r="I22" s="1" t="s">
        <v>12</v>
      </c>
      <c r="J22" s="1" t="s">
        <v>13</v>
      </c>
      <c r="K22" s="1" t="s">
        <v>14</v>
      </c>
      <c r="L22" s="1" t="s">
        <v>15</v>
      </c>
      <c r="M22" s="14" t="s">
        <v>18</v>
      </c>
      <c r="N22" s="14" t="s">
        <v>85</v>
      </c>
      <c r="P22" s="1" t="s">
        <v>19</v>
      </c>
      <c r="Q22" s="1" t="s">
        <v>20</v>
      </c>
      <c r="R22" s="1" t="s">
        <v>21</v>
      </c>
      <c r="S22" s="1" t="s">
        <v>22</v>
      </c>
      <c r="T22" s="1" t="s">
        <v>23</v>
      </c>
      <c r="U22" s="1" t="s">
        <v>24</v>
      </c>
      <c r="V22" s="1" t="s">
        <v>25</v>
      </c>
      <c r="W22" s="1" t="s">
        <v>26</v>
      </c>
      <c r="X22" s="1" t="s">
        <v>166</v>
      </c>
      <c r="Y22" s="1" t="s">
        <v>27</v>
      </c>
      <c r="Z22" s="1" t="s">
        <v>28</v>
      </c>
      <c r="AA22" s="1" t="s">
        <v>29</v>
      </c>
      <c r="AB22" s="1" t="s">
        <v>30</v>
      </c>
    </row>
    <row r="23" spans="2:42" x14ac:dyDescent="0.25">
      <c r="B23" s="2">
        <v>45982</v>
      </c>
      <c r="C23">
        <v>32.549999999999997</v>
      </c>
      <c r="D23" t="s">
        <v>31</v>
      </c>
      <c r="E23" s="2" cm="1">
        <f t="array" ref="E23">BRISTO.NEXT_BDAYS(E17,-1,holiday_b3[])</f>
        <v>46128</v>
      </c>
      <c r="F23" s="3">
        <v>32.5</v>
      </c>
      <c r="G23" s="4">
        <v>0.05</v>
      </c>
      <c r="H23" s="5">
        <v>0.2409</v>
      </c>
      <c r="I23" s="6" cm="1">
        <f t="array" ref="I23">BRISTO.BDAYS(B23,E23,holiday_b3[])</f>
        <v>97</v>
      </c>
      <c r="J23" s="7">
        <f>I23/252</f>
        <v>0.38492063492063494</v>
      </c>
      <c r="K23" s="8">
        <v>0.14712500000000001</v>
      </c>
      <c r="L23" s="6" cm="1">
        <f t="array" ref="L23">BRISTO.BDAYS(B23,E23,holiday_br[])</f>
        <v>99</v>
      </c>
      <c r="M23" s="5">
        <f>L23/I23*LN(1+K23)</f>
        <v>0.14008889075821618</v>
      </c>
      <c r="N23" s="5">
        <f>LN(1+G23)</f>
        <v>4.8790164169432049E-2</v>
      </c>
      <c r="O23" s="5">
        <f>M23-N23</f>
        <v>9.1298726588784129E-2</v>
      </c>
      <c r="P23">
        <f>(LN(C23/F23) + ((M23-N23) + (H23^2)/2)*J23) / (H23*SQRT(J23))</f>
        <v>0.32014813693847771</v>
      </c>
      <c r="Q23" s="7">
        <f t="shared" ref="Q23:Q26" si="17">P23-H23*SQRT(J23)</f>
        <v>0.17068902523421067</v>
      </c>
      <c r="R23">
        <f>IF(D23="C",1,-1)</f>
        <v>-1</v>
      </c>
      <c r="S23" s="10">
        <f>(C23*EXP(-N23*J23)*_xlfn.NORM.S.DIST(P23*R23,TRUE)*R23-F23*EXP(-M23*J23)*_xlfn.NORM.S.DIST(Q23*R23,TRUE)*R23)</f>
        <v>1.3492999420741505</v>
      </c>
      <c r="T23" s="11">
        <f>(_xlfn.NORM.S.DIST(P23, TRUE)-IF(D23="P",1,0))*EXP(-N23*J23)</f>
        <v>-0.36746175151705901</v>
      </c>
      <c r="U23" s="5">
        <f>(_xlfn.NORM.S.DIST(P23,FALSE)/(C23*H23*SQRT(J23)))*EXP(-N23*J23)</f>
        <v>7.6458189216003974E-2</v>
      </c>
      <c r="V23" s="12">
        <f>_xlfn.NORM.S.DIST(P23,FALSE)*C23*SQRT(J23)*EXP(-N23*J23)</f>
        <v>7.5116265372632363</v>
      </c>
      <c r="W23" s="12">
        <f>((-C23*EXP(-N23*J23)*_xlfn.NORM.S.DIST(P23,FALSE)*H23)/(2*SQRT(J23))-R23*M23*F23*EXP(-M23*J23)*_xlfn.NORM.S.DIST(R23*Q23,TRUE)+R23*N23*C23*EXP(-N23*J23)*_xlfn.NORM.S.DIST(R23*P23,TRUE))/252</f>
        <v>-4.2441092071469171E-3</v>
      </c>
      <c r="X23" s="13">
        <f>R23*F23*J23*EXP(-M23*J23)*_xlfn.NORM.S.DIST(R23*Q23,TRUE)/100</f>
        <v>-5.1233629187840427E-2</v>
      </c>
      <c r="Y23" s="13">
        <v>5.4032</v>
      </c>
      <c r="Z23" s="6">
        <v>1000000</v>
      </c>
      <c r="AA23" s="3">
        <f>Z23*U23*C23*1%*C23/Y23</f>
        <v>149925.30837250006</v>
      </c>
      <c r="AB23" s="6">
        <f>Z23*T23</f>
        <v>-367461.75151705899</v>
      </c>
    </row>
    <row r="24" spans="2:42" x14ac:dyDescent="0.25">
      <c r="B24" s="2">
        <v>45982</v>
      </c>
      <c r="C24">
        <v>32.549999999999997</v>
      </c>
      <c r="D24" t="s">
        <v>32</v>
      </c>
      <c r="E24" s="2" cm="1">
        <f t="array" ref="E24">BRISTO.NEXT_BDAYS(E18,-1,holiday_b3[])</f>
        <v>46128</v>
      </c>
      <c r="F24" s="3">
        <v>32.5</v>
      </c>
      <c r="G24" s="4">
        <v>0</v>
      </c>
      <c r="H24" s="5">
        <v>0.2409</v>
      </c>
      <c r="I24" s="6" cm="1">
        <f t="array" ref="I24">BRISTO.BDAYS(B24,E24,holiday_b3[])</f>
        <v>97</v>
      </c>
      <c r="J24" s="7">
        <f>I24/252</f>
        <v>0.38492063492063494</v>
      </c>
      <c r="K24" s="8">
        <v>0.14712500000000001</v>
      </c>
      <c r="L24" s="6" cm="1">
        <f t="array" ref="L24">BRISTO.BDAYS(B24,E24,holiday_br[])</f>
        <v>99</v>
      </c>
      <c r="M24" s="5">
        <f t="shared" ref="M24:M26" si="18">L24/I24*LN(1+K24)</f>
        <v>0.14008889075821618</v>
      </c>
      <c r="N24" s="5">
        <f t="shared" ref="N24:N26" si="19">LN(1+G24)</f>
        <v>0</v>
      </c>
      <c r="O24" s="5">
        <f t="shared" ref="O24:O26" si="20">M24-N24</f>
        <v>0.14008889075821618</v>
      </c>
      <c r="P24">
        <f t="shared" ref="P24:P26" si="21">(LN(C24/F24) + ((M24-N24) + (H24^2)/2)*J24) / (H24*SQRT(J24))</f>
        <v>0.44580351355506187</v>
      </c>
      <c r="Q24" s="7">
        <f t="shared" si="17"/>
        <v>0.2963444018507948</v>
      </c>
      <c r="R24">
        <f>IF(D24="C",1,-1)</f>
        <v>1</v>
      </c>
      <c r="S24" s="10">
        <f t="shared" ref="S24:S26" si="22">(C24*EXP(-N24*J24)*_xlfn.NORM.S.DIST(P24*R24,TRUE)*R24-F24*EXP(-M24*J24)*_xlfn.NORM.S.DIST(Q24*R24,TRUE)*R24)</f>
        <v>2.8928916206088466</v>
      </c>
      <c r="T24" s="11">
        <f t="shared" ref="T24:T26" si="23">(_xlfn.NORM.S.DIST(P24, TRUE)-IF(D24="P",1,0))*EXP(-N24*J24)</f>
        <v>0.67213040820993686</v>
      </c>
      <c r="U24" s="5">
        <f t="shared" ref="U24:U26" si="24">(_xlfn.NORM.S.DIST(P24,FALSE)/(C24*H24*SQRT(J24)))*EXP(-N24*J24)</f>
        <v>7.424730009310064E-2</v>
      </c>
      <c r="V24" s="12">
        <f t="shared" ref="V24:V26" si="25">_xlfn.NORM.S.DIST(P24,FALSE)*C24*SQRT(J24)*EXP(-N24*J24)</f>
        <v>7.2944179742978061</v>
      </c>
      <c r="W24" s="12">
        <f t="shared" ref="W24:W26" si="26">((-C24*EXP(-N24*J24)*_xlfn.NORM.S.DIST(P24,FALSE)*H24)/(2*SQRT(J24))-R24*M24*F24*EXP(-M24*J24)*_xlfn.NORM.S.DIST(R24*Q24,TRUE)+R24*N24*C24*EXP(-N24*J24)*_xlfn.NORM.S.DIST(R24*P24,TRUE))/252</f>
        <v>-1.9611755296650959E-2</v>
      </c>
      <c r="X24" s="13">
        <f t="shared" ref="X24:X26" si="27">R24*F24*J24*EXP(-M24*J24)*_xlfn.NORM.S.DIST(R24*Q24,TRUE)/100</f>
        <v>7.3077002268356589E-2</v>
      </c>
      <c r="Y24" s="13">
        <v>5.4032</v>
      </c>
      <c r="Z24" s="6">
        <v>1000000</v>
      </c>
      <c r="AA24" s="3">
        <f>Z24*U24*C24*1%*C24/Y24</f>
        <v>145590.02085225485</v>
      </c>
      <c r="AB24" s="6">
        <f>Z24*T24</f>
        <v>672130.40820993681</v>
      </c>
    </row>
    <row r="25" spans="2:42" x14ac:dyDescent="0.25">
      <c r="B25" s="2">
        <v>45982</v>
      </c>
      <c r="C25">
        <v>32.549999999999997</v>
      </c>
      <c r="D25" t="s">
        <v>31</v>
      </c>
      <c r="E25" s="2" cm="1">
        <f t="array" ref="E25">BRISTO.NEXT_BDAYS(E19,-1,holiday_b3[])</f>
        <v>46128</v>
      </c>
      <c r="F25" s="3">
        <v>40.5</v>
      </c>
      <c r="G25" s="4">
        <v>0</v>
      </c>
      <c r="H25" s="5">
        <v>0.25590000000000002</v>
      </c>
      <c r="I25" s="6" cm="1">
        <f t="array" ref="I25">BRISTO.BDAYS(B25,E25,holiday_b3[])</f>
        <v>97</v>
      </c>
      <c r="J25" s="7">
        <f>I25/252</f>
        <v>0.38492063492063494</v>
      </c>
      <c r="K25" s="8">
        <v>0.14712500000000001</v>
      </c>
      <c r="L25" s="6" cm="1">
        <f t="array" ref="L25">BRISTO.BDAYS(B25,E25,holiday_br[])</f>
        <v>99</v>
      </c>
      <c r="M25" s="5">
        <f t="shared" si="18"/>
        <v>0.14008889075821618</v>
      </c>
      <c r="N25" s="5">
        <f t="shared" si="19"/>
        <v>0</v>
      </c>
      <c r="O25" s="5">
        <f t="shared" si="20"/>
        <v>0.14008889075821618</v>
      </c>
      <c r="P25">
        <f t="shared" si="21"/>
        <v>-0.9573765197402565</v>
      </c>
      <c r="Q25" s="7">
        <f t="shared" si="17"/>
        <v>-1.1161419273165203</v>
      </c>
      <c r="R25">
        <f>IF(D25="C",1,-1)</f>
        <v>-1</v>
      </c>
      <c r="S25" s="10">
        <f t="shared" si="22"/>
        <v>6.2587451778959569</v>
      </c>
      <c r="T25" s="11">
        <f t="shared" si="23"/>
        <v>-0.83081137728197563</v>
      </c>
      <c r="U25" s="5">
        <f t="shared" si="24"/>
        <v>4.8817168629682446E-2</v>
      </c>
      <c r="V25" s="12">
        <f t="shared" si="25"/>
        <v>5.094669926002914</v>
      </c>
      <c r="W25" s="12">
        <f t="shared" si="26"/>
        <v>1.1792429300642072E-2</v>
      </c>
      <c r="X25" s="13">
        <f t="shared" si="27"/>
        <v>-0.12818494382210927</v>
      </c>
      <c r="Y25" s="13">
        <v>5.4032</v>
      </c>
      <c r="Z25" s="6">
        <v>1000000</v>
      </c>
      <c r="AA25" s="3">
        <f>Z25*U25*C25*1%*C25/Y25</f>
        <v>95724.593215261542</v>
      </c>
      <c r="AB25" s="6">
        <f>Z25*T25</f>
        <v>-830811.37728197558</v>
      </c>
    </row>
    <row r="26" spans="2:42" x14ac:dyDescent="0.25">
      <c r="B26" s="2">
        <v>45982</v>
      </c>
      <c r="C26">
        <v>32.549999999999997</v>
      </c>
      <c r="D26" t="s">
        <v>32</v>
      </c>
      <c r="E26" s="2" cm="1">
        <f t="array" ref="E26">BRISTO.NEXT_BDAYS(E20,-1,holiday_b3[])</f>
        <v>46128</v>
      </c>
      <c r="F26" s="3">
        <v>40.5</v>
      </c>
      <c r="G26" s="4">
        <v>0.05</v>
      </c>
      <c r="H26" s="5">
        <v>0.25590000000000002</v>
      </c>
      <c r="I26" s="6" cm="1">
        <f t="array" ref="I26">BRISTO.BDAYS(B26,E26,holiday_b3[])</f>
        <v>97</v>
      </c>
      <c r="J26" s="7">
        <f>I26/252</f>
        <v>0.38492063492063494</v>
      </c>
      <c r="K26" s="8">
        <v>0.14712500000000001</v>
      </c>
      <c r="L26" s="6" cm="1">
        <f t="array" ref="L26">BRISTO.BDAYS(B26,E26,holiday_br[])</f>
        <v>99</v>
      </c>
      <c r="M26" s="5">
        <f t="shared" si="18"/>
        <v>0.14008889075821618</v>
      </c>
      <c r="N26" s="5">
        <f t="shared" si="19"/>
        <v>4.8790164169432049E-2</v>
      </c>
      <c r="O26" s="5">
        <f t="shared" si="20"/>
        <v>9.1298726588784129E-2</v>
      </c>
      <c r="P26">
        <f t="shared" si="21"/>
        <v>-1.0756663994859976</v>
      </c>
      <c r="Q26" s="7">
        <f t="shared" si="17"/>
        <v>-1.2344318070622613</v>
      </c>
      <c r="R26">
        <f>IF(D26="C",1,-1)</f>
        <v>1</v>
      </c>
      <c r="S26" s="10">
        <f t="shared" si="22"/>
        <v>0.34100220759256228</v>
      </c>
      <c r="T26" s="11">
        <f t="shared" si="23"/>
        <v>0.13841421085583866</v>
      </c>
      <c r="U26" s="5">
        <f t="shared" si="24"/>
        <v>4.2481025821466997E-2</v>
      </c>
      <c r="V26" s="12">
        <f t="shared" si="25"/>
        <v>4.4334157582991516</v>
      </c>
      <c r="W26" s="12">
        <f t="shared" si="26"/>
        <v>-7.2907138534563766E-3</v>
      </c>
      <c r="X26" s="13">
        <f t="shared" si="27"/>
        <v>1.6029559305920781E-2</v>
      </c>
      <c r="Y26" s="13">
        <v>5.4032</v>
      </c>
      <c r="Z26" s="6">
        <v>1000000</v>
      </c>
      <c r="AA26" s="3">
        <f>Z26*U26*C26*1%*C26/Y26</f>
        <v>83300.179635047432</v>
      </c>
      <c r="AB26" s="6">
        <f>Z26*T26</f>
        <v>138414.21085583867</v>
      </c>
    </row>
    <row r="27" spans="2:42" x14ac:dyDescent="0.25">
      <c r="S27" s="13"/>
      <c r="T27" s="13"/>
      <c r="U27" s="13"/>
      <c r="V27" s="13"/>
      <c r="W27" s="13"/>
      <c r="X27" s="13"/>
      <c r="Y27" s="13"/>
      <c r="Z27" s="13"/>
      <c r="AA27" s="13"/>
      <c r="AB27" s="13"/>
    </row>
    <row r="28" spans="2:42" x14ac:dyDescent="0.25">
      <c r="S28" s="13"/>
      <c r="U28" s="13"/>
      <c r="V28" s="13"/>
      <c r="W28" s="72" t="s">
        <v>168</v>
      </c>
      <c r="X28" s="13" t="s">
        <v>59</v>
      </c>
      <c r="Y28" s="13"/>
      <c r="Z28" s="13"/>
      <c r="AA28" s="13"/>
      <c r="AB28" s="13"/>
    </row>
    <row r="29" spans="2:42" x14ac:dyDescent="0.25">
      <c r="S29" s="13"/>
      <c r="U29" s="13"/>
      <c r="V29" s="13"/>
      <c r="W29" s="13">
        <f>S23-S17</f>
        <v>-4.3689174824468324E-3</v>
      </c>
      <c r="X29" s="13">
        <f>W29-W23</f>
        <v>-1.2480827529991537E-4</v>
      </c>
      <c r="Y29" s="13"/>
      <c r="Z29" s="13"/>
      <c r="AA29" s="13"/>
      <c r="AB29" s="13"/>
    </row>
    <row r="30" spans="2:42" x14ac:dyDescent="0.25">
      <c r="S30" s="13"/>
      <c r="T30" s="13"/>
      <c r="U30" s="13"/>
      <c r="V30" s="13"/>
      <c r="W30" s="13">
        <f>S24-S18</f>
        <v>-1.9372548814850177E-2</v>
      </c>
      <c r="X30" s="13">
        <f t="shared" ref="X30:X32" si="28">W30-W24</f>
        <v>2.3920648180078205E-4</v>
      </c>
      <c r="Y30" s="13"/>
      <c r="Z30" s="13"/>
      <c r="AA30" s="13"/>
      <c r="AB30" s="13"/>
    </row>
    <row r="31" spans="2:42" x14ac:dyDescent="0.25">
      <c r="S31" s="13"/>
      <c r="T31" s="13"/>
      <c r="U31" s="13"/>
      <c r="V31" s="13"/>
      <c r="W31" s="13">
        <f>S25-S19</f>
        <v>1.1382747632207924E-2</v>
      </c>
      <c r="X31" s="13">
        <f t="shared" si="28"/>
        <v>-4.0968166843414859E-4</v>
      </c>
      <c r="Y31" s="13"/>
      <c r="Z31" s="13"/>
      <c r="AA31" s="13"/>
      <c r="AB31" s="13"/>
    </row>
    <row r="32" spans="2:42" x14ac:dyDescent="0.25">
      <c r="S32" s="13"/>
      <c r="T32" s="13"/>
      <c r="U32" s="13"/>
      <c r="V32" s="13"/>
      <c r="W32" s="13">
        <f>S26-S20</f>
        <v>-7.2637570001026219E-3</v>
      </c>
      <c r="X32" s="13">
        <f t="shared" si="28"/>
        <v>2.6956853353754702E-5</v>
      </c>
      <c r="Y32" s="13"/>
      <c r="Z32" s="13"/>
      <c r="AA32" s="13"/>
      <c r="AB32" s="13"/>
    </row>
    <row r="34" spans="1:30" x14ac:dyDescent="0.25">
      <c r="B34" s="1" t="s">
        <v>5</v>
      </c>
      <c r="C34" s="1" t="s">
        <v>6</v>
      </c>
      <c r="D34" s="1" t="s">
        <v>7</v>
      </c>
      <c r="E34" s="1" t="s">
        <v>8</v>
      </c>
      <c r="F34" s="1" t="s">
        <v>9</v>
      </c>
      <c r="G34" s="1" t="s">
        <v>10</v>
      </c>
      <c r="H34" s="1" t="s">
        <v>11</v>
      </c>
      <c r="I34" s="1" t="s">
        <v>12</v>
      </c>
      <c r="J34" s="1" t="s">
        <v>13</v>
      </c>
      <c r="K34" s="1" t="s">
        <v>14</v>
      </c>
      <c r="L34" s="1" t="s">
        <v>15</v>
      </c>
      <c r="M34" s="14" t="s">
        <v>18</v>
      </c>
      <c r="N34" s="14" t="s">
        <v>85</v>
      </c>
      <c r="P34" s="1" t="s">
        <v>19</v>
      </c>
      <c r="Q34" s="1" t="s">
        <v>20</v>
      </c>
      <c r="R34" s="1" t="s">
        <v>21</v>
      </c>
      <c r="S34" s="1" t="s">
        <v>22</v>
      </c>
      <c r="T34" s="1" t="s">
        <v>23</v>
      </c>
      <c r="U34" s="1" t="s">
        <v>24</v>
      </c>
      <c r="V34" s="1" t="s">
        <v>25</v>
      </c>
      <c r="W34" s="1" t="s">
        <v>26</v>
      </c>
      <c r="X34" s="1" t="s">
        <v>166</v>
      </c>
      <c r="Y34" s="1" t="s">
        <v>27</v>
      </c>
      <c r="Z34" s="1" t="s">
        <v>28</v>
      </c>
      <c r="AA34" s="1" t="s">
        <v>29</v>
      </c>
      <c r="AB34" s="1" t="s">
        <v>30</v>
      </c>
      <c r="AC34" s="1" t="s">
        <v>58</v>
      </c>
      <c r="AD34" s="1" t="s">
        <v>59</v>
      </c>
    </row>
    <row r="35" spans="1:30" x14ac:dyDescent="0.25">
      <c r="A35" t="s">
        <v>167</v>
      </c>
      <c r="B35" s="2">
        <v>45982</v>
      </c>
      <c r="C35">
        <v>32.549999999999997</v>
      </c>
      <c r="D35" t="s">
        <v>31</v>
      </c>
      <c r="E35" s="2">
        <v>46129</v>
      </c>
      <c r="F35" s="3">
        <v>32.5</v>
      </c>
      <c r="G35" s="4">
        <v>0.05</v>
      </c>
      <c r="H35" s="5">
        <v>0.2409</v>
      </c>
      <c r="I35" s="6" cm="1">
        <f t="array" ref="I35">BRISTO.BDAYS(B35,E35,holiday_b3[])</f>
        <v>98</v>
      </c>
      <c r="J35" s="7">
        <f>I35/252</f>
        <v>0.3888888888888889</v>
      </c>
      <c r="K35" s="8">
        <v>0.14712500000000001</v>
      </c>
      <c r="L35" s="6" cm="1">
        <f t="array" ref="L35">BRISTO.BDAYS(B35,E35,holiday_br[])</f>
        <v>100</v>
      </c>
      <c r="M35" s="5">
        <f>L35/I35*LN(1+K35)</f>
        <v>0.14006001240514299</v>
      </c>
      <c r="N35" s="5">
        <f>LN(1+G35)</f>
        <v>4.8790164169432049E-2</v>
      </c>
      <c r="O35" s="5">
        <f>M35-N35</f>
        <v>9.1269848235710938E-2</v>
      </c>
      <c r="P35">
        <f>(LN(C35/F35) + ((M35-N35) + (H35^2)/2)*J35) / (H35*SQRT(J35))</f>
        <v>0.32161390232759507</v>
      </c>
      <c r="Q35" s="7">
        <f t="shared" ref="Q35:Q38" si="29">P35-H35*SQRT(J35)</f>
        <v>0.17138635824862133</v>
      </c>
      <c r="R35">
        <f>IF(D35="C",1,-1)</f>
        <v>-1</v>
      </c>
      <c r="S35" s="10" cm="1">
        <f t="array" ref="S35:X35">BRISTO.OPT_EURO(C35,D35,J35,F35,M35,N35,H35,A35)</f>
        <v>1.3536688595565973</v>
      </c>
      <c r="T35" s="11">
        <v>-0.3668456395588382</v>
      </c>
      <c r="U35" s="5">
        <v>7.6016608331291896E-2</v>
      </c>
      <c r="V35" s="12">
        <v>7.5452356716946092</v>
      </c>
      <c r="W35" s="12">
        <v>-4.1965986153027794E-3</v>
      </c>
      <c r="X35" s="13">
        <v>-5.170081166132081E-2</v>
      </c>
      <c r="Y35" s="13">
        <v>5.4032</v>
      </c>
      <c r="Z35" s="6">
        <v>1000000</v>
      </c>
      <c r="AA35" s="3">
        <f>Z35*U35*C35*1%*C35/Y35</f>
        <v>149059.4213956999</v>
      </c>
      <c r="AB35" s="6">
        <f>Z35*T35</f>
        <v>-366845.63955883821</v>
      </c>
      <c r="AC35" s="5" cm="1">
        <f t="array" ref="AC35">BRISTO.OPT_IVOL(S35,C35,D35,F35,J35,M35,N35)</f>
        <v>0.24090290069580078</v>
      </c>
      <c r="AD35" s="5">
        <f>AC35-H35</f>
        <v>2.9006958007782302E-6</v>
      </c>
    </row>
    <row r="36" spans="1:30" x14ac:dyDescent="0.25">
      <c r="A36" t="s">
        <v>167</v>
      </c>
      <c r="B36" s="2">
        <v>45982</v>
      </c>
      <c r="C36">
        <v>32.549999999999997</v>
      </c>
      <c r="D36" t="s">
        <v>32</v>
      </c>
      <c r="E36" s="2">
        <v>46129</v>
      </c>
      <c r="F36" s="3">
        <v>32.5</v>
      </c>
      <c r="G36" s="4">
        <v>0</v>
      </c>
      <c r="H36" s="5">
        <v>0.2409</v>
      </c>
      <c r="I36" s="6" cm="1">
        <f t="array" ref="I36">BRISTO.BDAYS(B36,E36,holiday_b3[])</f>
        <v>98</v>
      </c>
      <c r="J36" s="7">
        <f>I36/252</f>
        <v>0.3888888888888889</v>
      </c>
      <c r="K36" s="8">
        <v>0.14712500000000001</v>
      </c>
      <c r="L36" s="6" cm="1">
        <f t="array" ref="L36">BRISTO.BDAYS(B36,E36,holiday_br[])</f>
        <v>100</v>
      </c>
      <c r="M36" s="5">
        <f t="shared" ref="M36:M38" si="30">L36/I36*LN(1+K36)</f>
        <v>0.14006001240514299</v>
      </c>
      <c r="N36" s="5">
        <f t="shared" ref="N36:N38" si="31">LN(1+G36)</f>
        <v>0</v>
      </c>
      <c r="O36" s="5">
        <f t="shared" ref="O36:O38" si="32">M36-N36</f>
        <v>0.14006001240514299</v>
      </c>
      <c r="P36">
        <f t="shared" ref="P36:P38" si="33">(LN(C36/F36) + ((M36-N36) + (H36^2)/2)*J36) / (H36*SQRT(J36))</f>
        <v>0.44791532627008068</v>
      </c>
      <c r="Q36" s="7">
        <f t="shared" si="29"/>
        <v>0.29768778219110692</v>
      </c>
      <c r="R36">
        <f>IF(D36="C",1,-1)</f>
        <v>1</v>
      </c>
      <c r="S36" s="10" cm="1">
        <f t="array" ref="S36:X36">BRISTO.OPT_EURO(C36,D36,J36,F36,M36,N36,H36,A36)</f>
        <v>2.9122641694236968</v>
      </c>
      <c r="T36" s="11">
        <v>0.67289284652870363</v>
      </c>
      <c r="U36" s="5">
        <v>7.3797841347946175E-2</v>
      </c>
      <c r="V36" s="12">
        <v>7.3250059066811799</v>
      </c>
      <c r="W36" s="12">
        <v>-1.9557773779967865E-2</v>
      </c>
      <c r="X36" s="13">
        <v>7.3851547719777338E-2</v>
      </c>
      <c r="Y36" s="13">
        <v>5.4032</v>
      </c>
      <c r="Z36" s="6">
        <v>1000000</v>
      </c>
      <c r="AA36" s="3">
        <f>Z36*U36*C36*1%*C36/Y36</f>
        <v>144708.68633911817</v>
      </c>
      <c r="AB36" s="6">
        <f>Z36*T36</f>
        <v>672892.84652870358</v>
      </c>
      <c r="AC36" s="5" cm="1">
        <f t="array" ref="AC36">BRISTO.OPT_IVOL(S36,C36,D36,F36,J36,M36,N36)</f>
        <v>0.24090290069580078</v>
      </c>
      <c r="AD36" s="5">
        <f>AC36-H36</f>
        <v>2.9006958007782302E-6</v>
      </c>
    </row>
    <row r="37" spans="1:30" x14ac:dyDescent="0.25">
      <c r="A37" t="s">
        <v>167</v>
      </c>
      <c r="B37" s="2">
        <v>45982</v>
      </c>
      <c r="C37">
        <v>32.549999999999997</v>
      </c>
      <c r="D37" t="s">
        <v>31</v>
      </c>
      <c r="E37" s="2">
        <v>46129</v>
      </c>
      <c r="F37" s="3">
        <v>40.5</v>
      </c>
      <c r="G37" s="4">
        <v>0</v>
      </c>
      <c r="H37" s="5">
        <v>0.25590000000000002</v>
      </c>
      <c r="I37" s="6" cm="1">
        <f t="array" ref="I37">BRISTO.BDAYS(B37,E37,holiday_b3[])</f>
        <v>98</v>
      </c>
      <c r="J37" s="7">
        <f>I37/252</f>
        <v>0.3888888888888889</v>
      </c>
      <c r="K37" s="8">
        <v>0.14712500000000001</v>
      </c>
      <c r="L37" s="6" cm="1">
        <f t="array" ref="L37">BRISTO.BDAYS(B37,E37,holiday_br[])</f>
        <v>100</v>
      </c>
      <c r="M37" s="5">
        <f t="shared" si="30"/>
        <v>0.14006001240514299</v>
      </c>
      <c r="N37" s="5">
        <f t="shared" si="31"/>
        <v>0</v>
      </c>
      <c r="O37" s="5">
        <f t="shared" si="32"/>
        <v>0.14006001240514299</v>
      </c>
      <c r="P37">
        <f t="shared" si="33"/>
        <v>-0.94825206878691748</v>
      </c>
      <c r="Q37" s="7">
        <f t="shared" si="29"/>
        <v>-1.107833756332826</v>
      </c>
      <c r="R37">
        <f>IF(D37="C",1,-1)</f>
        <v>-1</v>
      </c>
      <c r="S37" s="10" cm="1">
        <f t="array" ref="S37:X37">BRISTO.OPT_EURO(C37,D37,J37,F37,M37,N37,H37,A37)</f>
        <v>6.2473624302637489</v>
      </c>
      <c r="T37" s="11">
        <v>-0.82849942725574388</v>
      </c>
      <c r="U37" s="5">
        <v>4.899154461682699E-2</v>
      </c>
      <c r="V37" s="12">
        <v>5.1655781791054505</v>
      </c>
      <c r="W37" s="12">
        <v>1.171645606549989E-2</v>
      </c>
      <c r="X37" s="13">
        <v>-0.12916951750670413</v>
      </c>
      <c r="Y37" s="13">
        <v>5.4032</v>
      </c>
      <c r="Z37" s="6">
        <v>1000000</v>
      </c>
      <c r="AA37" s="3">
        <f>Z37*U37*C37*1%*C37/Y37</f>
        <v>96066.523542326278</v>
      </c>
      <c r="AB37" s="6">
        <f>Z37*T37</f>
        <v>-828499.42725574388</v>
      </c>
      <c r="AC37" s="5" cm="1">
        <f t="array" ref="AC37">BRISTO.OPT_IVOL(S37,C37,D37,F37,J37,M37,N37)</f>
        <v>0.25590419769287109</v>
      </c>
      <c r="AD37" s="5">
        <f>AC37-H37</f>
        <v>4.1976928710774075E-6</v>
      </c>
    </row>
    <row r="38" spans="1:30" x14ac:dyDescent="0.25">
      <c r="A38" t="s">
        <v>167</v>
      </c>
      <c r="B38" s="2">
        <v>45982</v>
      </c>
      <c r="C38">
        <v>32.549999999999997</v>
      </c>
      <c r="D38" t="s">
        <v>32</v>
      </c>
      <c r="E38" s="2">
        <v>46129</v>
      </c>
      <c r="F38" s="3">
        <v>40.5</v>
      </c>
      <c r="G38" s="4">
        <v>0.05</v>
      </c>
      <c r="H38" s="5">
        <v>0.25590000000000002</v>
      </c>
      <c r="I38" s="6" cm="1">
        <f t="array" ref="I38">BRISTO.BDAYS(B38,E38,holiday_b3[])</f>
        <v>98</v>
      </c>
      <c r="J38" s="7">
        <f>I38/252</f>
        <v>0.3888888888888889</v>
      </c>
      <c r="K38" s="8">
        <v>0.14712500000000001</v>
      </c>
      <c r="L38" s="6" cm="1">
        <f t="array" ref="L38">BRISTO.BDAYS(B38,E38,holiday_br[])</f>
        <v>100</v>
      </c>
      <c r="M38" s="5">
        <f t="shared" si="30"/>
        <v>0.14006001240514299</v>
      </c>
      <c r="N38" s="5">
        <f t="shared" si="31"/>
        <v>4.8790164169432049E-2</v>
      </c>
      <c r="O38" s="5">
        <f t="shared" si="32"/>
        <v>9.1269848235710938E-2</v>
      </c>
      <c r="P38">
        <f t="shared" si="33"/>
        <v>-1.0671501267304297</v>
      </c>
      <c r="Q38" s="7">
        <f t="shared" si="29"/>
        <v>-1.2267318142763384</v>
      </c>
      <c r="R38">
        <f>IF(D38="C",1,-1)</f>
        <v>1</v>
      </c>
      <c r="S38" s="10" cm="1">
        <f t="array" ref="S38:X38">BRISTO.OPT_EURO(C38,D38,J38,F38,M38,N38,H38,A38)</f>
        <v>0.3482659645926649</v>
      </c>
      <c r="T38" s="11">
        <v>0.14026522989850693</v>
      </c>
      <c r="U38" s="5">
        <v>4.2642869268756961E-2</v>
      </c>
      <c r="V38" s="12">
        <v>4.4961855502200283</v>
      </c>
      <c r="W38" s="12">
        <v>-7.3303007707029846E-3</v>
      </c>
      <c r="X38" s="13">
        <v>1.6400872711236747E-2</v>
      </c>
      <c r="Y38" s="13">
        <v>5.4032</v>
      </c>
      <c r="Z38" s="6">
        <v>1000000</v>
      </c>
      <c r="AA38" s="3">
        <f>Z38*U38*C38*1%*C38/Y38</f>
        <v>83617.535159574283</v>
      </c>
      <c r="AB38" s="6">
        <f>Z38*T38</f>
        <v>140265.22989850692</v>
      </c>
      <c r="AC38" s="5" cm="1">
        <f t="array" ref="AC38">BRISTO.OPT_IVOL(S38,C38,D38,F38,J38,M38,N38)</f>
        <v>0.25590419769287109</v>
      </c>
      <c r="AD38" s="5">
        <f>AC38-H38</f>
        <v>4.1976928710774075E-6</v>
      </c>
    </row>
    <row r="40" spans="1:30" x14ac:dyDescent="0.25">
      <c r="S40" s="13">
        <f>S17-S35</f>
        <v>0</v>
      </c>
      <c r="T40" s="13">
        <f>T17-T35</f>
        <v>0</v>
      </c>
      <c r="U40" s="13">
        <f>U17-U35</f>
        <v>0</v>
      </c>
      <c r="V40" s="13">
        <f>V17-V35</f>
        <v>0</v>
      </c>
      <c r="W40" s="13">
        <f>W17-W35</f>
        <v>0</v>
      </c>
      <c r="X40" s="13">
        <f>X17-X35</f>
        <v>0</v>
      </c>
      <c r="Y40" s="13">
        <f>Y17-Y35</f>
        <v>0</v>
      </c>
      <c r="Z40" s="13">
        <f>Z17-Z35</f>
        <v>0</v>
      </c>
      <c r="AA40" s="13">
        <f>AA17-AA35</f>
        <v>0</v>
      </c>
      <c r="AB40" s="13">
        <f>AB17-AB35</f>
        <v>0</v>
      </c>
    </row>
    <row r="41" spans="1:30" x14ac:dyDescent="0.25">
      <c r="S41" s="13">
        <f>S18-S36</f>
        <v>0</v>
      </c>
      <c r="T41" s="13">
        <f>T18-T36</f>
        <v>0</v>
      </c>
      <c r="U41" s="13">
        <f>U18-U36</f>
        <v>0</v>
      </c>
      <c r="V41" s="13">
        <f>V18-V36</f>
        <v>0</v>
      </c>
      <c r="W41" s="13">
        <f>W18-W36</f>
        <v>0</v>
      </c>
      <c r="X41" s="13">
        <f>X18-X36</f>
        <v>0</v>
      </c>
      <c r="Y41" s="13">
        <f>Y18-Y36</f>
        <v>0</v>
      </c>
      <c r="Z41" s="13">
        <f>Z18-Z36</f>
        <v>0</v>
      </c>
      <c r="AA41" s="13">
        <f>AA18-AA36</f>
        <v>0</v>
      </c>
      <c r="AB41" s="13">
        <f>AB18-AB36</f>
        <v>0</v>
      </c>
    </row>
    <row r="42" spans="1:30" x14ac:dyDescent="0.25">
      <c r="S42" s="13">
        <f>S19-S37</f>
        <v>0</v>
      </c>
      <c r="T42" s="13">
        <f>T19-T37</f>
        <v>0</v>
      </c>
      <c r="U42" s="13">
        <f>U19-U37</f>
        <v>0</v>
      </c>
      <c r="V42" s="13">
        <f>V19-V37</f>
        <v>0</v>
      </c>
      <c r="W42" s="13">
        <f>W19-W37</f>
        <v>0</v>
      </c>
      <c r="X42" s="13">
        <f>X19-X37</f>
        <v>0</v>
      </c>
      <c r="Y42" s="13">
        <f>Y19-Y37</f>
        <v>0</v>
      </c>
      <c r="Z42" s="13">
        <f>Z19-Z37</f>
        <v>0</v>
      </c>
      <c r="AA42" s="13">
        <f>AA19-AA37</f>
        <v>0</v>
      </c>
      <c r="AB42" s="13">
        <f>AB19-AB37</f>
        <v>0</v>
      </c>
    </row>
    <row r="43" spans="1:30" x14ac:dyDescent="0.25">
      <c r="S43" s="13">
        <f>S20-S38</f>
        <v>0</v>
      </c>
      <c r="T43" s="13">
        <f>T20-T38</f>
        <v>0</v>
      </c>
      <c r="U43" s="13">
        <f>U20-U38</f>
        <v>0</v>
      </c>
      <c r="V43" s="13">
        <f>V20-V38</f>
        <v>0</v>
      </c>
      <c r="W43" s="13">
        <f>W20-W38</f>
        <v>0</v>
      </c>
      <c r="X43" s="13">
        <f>X20-X38</f>
        <v>0</v>
      </c>
      <c r="Y43" s="13">
        <f>Y20-Y38</f>
        <v>0</v>
      </c>
      <c r="Z43" s="13">
        <f>Z20-Z38</f>
        <v>0</v>
      </c>
      <c r="AA43" s="13">
        <f>AA20-AA38</f>
        <v>0</v>
      </c>
      <c r="AB43" s="13">
        <f>AB20-AB38</f>
        <v>0</v>
      </c>
    </row>
  </sheetData>
  <mergeCells count="2">
    <mergeCell ref="AD15:AG15"/>
    <mergeCell ref="AH15:AK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0.23768019442218158</v>
      </c>
      <c r="T6" s="11">
        <v>-2.0310792766525067E-2</v>
      </c>
      <c r="U6" s="5">
        <v>1.6484624635861457E-3</v>
      </c>
      <c r="V6" s="12">
        <v>4.3493504628532182</v>
      </c>
      <c r="W6" s="13">
        <v>1.8512231364600388E-4</v>
      </c>
      <c r="X6" s="13">
        <v>5.4032</v>
      </c>
      <c r="Y6" s="6">
        <f>450000000/C6</f>
        <v>4500000</v>
      </c>
      <c r="Z6" s="3">
        <f>Y6*S6</f>
        <v>1069560.8748998172</v>
      </c>
      <c r="AA6" s="3">
        <f>Y6*U6*C6*1%*C6/X6</f>
        <v>137290.51462351301</v>
      </c>
      <c r="AB6" s="6">
        <f>Y6*T6</f>
        <v>-91398.567449362803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12.531277821248288</v>
      </c>
      <c r="T7" s="11">
        <v>0.37019315481605719</v>
      </c>
      <c r="U7" s="5">
        <v>1.6484624635861457E-3</v>
      </c>
      <c r="V7" s="12">
        <v>4.3493504628532182</v>
      </c>
      <c r="W7" s="13">
        <v>2.7049956953842099E-2</v>
      </c>
      <c r="X7" s="13">
        <v>5.4032</v>
      </c>
      <c r="Y7" s="6">
        <f>-Y6</f>
        <v>-4500000</v>
      </c>
      <c r="Z7" s="3">
        <f>Y7*S7</f>
        <v>-56390750.195617296</v>
      </c>
      <c r="AA7" s="3">
        <f>Y7*U7*C7*1%*C7/X7</f>
        <v>-137290.51462351301</v>
      </c>
      <c r="AB7" s="6">
        <f>Y7*T7</f>
        <v>-1665869.1966722573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4.7818170439117473</v>
      </c>
      <c r="T8" s="11">
        <v>-0.19033143665447647</v>
      </c>
      <c r="U8" s="5">
        <v>5.8142572198371691E-3</v>
      </c>
      <c r="V8" s="12">
        <v>16.295701770855064</v>
      </c>
      <c r="W8" s="13">
        <v>2.2104437651291661E-2</v>
      </c>
      <c r="X8" s="13">
        <v>5.4032</v>
      </c>
      <c r="Y8" s="6">
        <f>Y7</f>
        <v>-4500000</v>
      </c>
      <c r="Z8" s="3">
        <f>Y8*S8</f>
        <v>-21518176.697602864</v>
      </c>
      <c r="AA8" s="3">
        <f>Y8*U8*C8*1%*C8/X8</f>
        <v>-484234.48121978203</v>
      </c>
      <c r="AB8" s="6">
        <f>Y8*T8</f>
        <v>856491.46494514414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3.6970161050217882</v>
      </c>
      <c r="T9" s="11">
        <v>0.20017251092810578</v>
      </c>
      <c r="U9" s="5">
        <v>5.8142572198371691E-3</v>
      </c>
      <c r="V9" s="12">
        <v>16.295701770855064</v>
      </c>
      <c r="W9" s="13">
        <v>-4.1196109057981831E-3</v>
      </c>
      <c r="X9" s="13">
        <v>5.4032</v>
      </c>
      <c r="Y9" s="6">
        <f>-Y8</f>
        <v>4500000</v>
      </c>
      <c r="Z9" s="3">
        <f>Y9*S9</f>
        <v>16636572.472598048</v>
      </c>
      <c r="AA9" s="3">
        <f>Y9*U9*C9*1%*C9/X9</f>
        <v>484234.48121978203</v>
      </c>
      <c r="AB9" s="6">
        <f>Y9*T9</f>
        <v>900776.29917647608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-60202793.545722291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-59202793.545722291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3.0403970694556177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2.6103343864854636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1.4013844669112707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1.4013844669112707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0.32436248590878375</v>
      </c>
      <c r="N26" s="9">
        <f>1/((1+G26)^J26)</f>
        <v>1</v>
      </c>
      <c r="O26" s="5">
        <f>LN(N26/M26)/J26</f>
        <v>1.0279898131629703</v>
      </c>
      <c r="P26" s="12">
        <f>(LN(C26/F26) + (O26 + (H26^2)/2)*J26) / (H26*SQRT(J26))</f>
        <v>5.4770292908698774</v>
      </c>
      <c r="Q26" s="12">
        <f>P26-H26*SQRT(J26)</f>
        <v>5.2249187113899316</v>
      </c>
      <c r="R26">
        <f>IF(D26="C",1,-1)</f>
        <v>-1</v>
      </c>
      <c r="S26" s="10" cm="1">
        <f t="array" ref="S26:W26">BRISTO.OPT_EURO(C26,D26,J26,F26,N26,M26,H26,A26)</f>
        <v>1.6929672995951491E-4</v>
      </c>
      <c r="T26" s="11">
        <v>-2.7816791389476906E-5</v>
      </c>
      <c r="U26" s="5">
        <v>4.6059101566521682E-6</v>
      </c>
      <c r="V26" s="12">
        <v>1.2152364954744128E-2</v>
      </c>
      <c r="W26" s="13">
        <v>2.8263252516158736E-6</v>
      </c>
      <c r="X26" s="13">
        <v>5.4032</v>
      </c>
      <c r="Y26" s="6">
        <f>450000000/C26</f>
        <v>4500000</v>
      </c>
      <c r="Z26" s="3">
        <f>Y26*S26</f>
        <v>761.83528481781707</v>
      </c>
      <c r="AA26" s="3">
        <f>Y26*U26*C26*1%*C26/X26</f>
        <v>383.59852874101932</v>
      </c>
      <c r="AB26" s="6">
        <f>Y26*T26</f>
        <v>-125.17556125264608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0.32436248590878375</v>
      </c>
      <c r="N27" s="9">
        <f>1/((1+G27)^J27)</f>
        <v>1</v>
      </c>
      <c r="O27" s="5">
        <f>LN(N27/M27)/J27</f>
        <v>1.0279898131629703</v>
      </c>
      <c r="P27" s="12">
        <f>(LN(C27/F27) + (O27 + (H27^2)/2)*J27) / (H27*SQRT(J27))</f>
        <v>5.4770292908698774</v>
      </c>
      <c r="Q27" s="12">
        <f>P27-H27*SQRT(J27)</f>
        <v>5.2249187113899316</v>
      </c>
      <c r="R27">
        <f>IF(D27="C",1,-1)</f>
        <v>1</v>
      </c>
      <c r="S27" s="10" cm="1">
        <f t="array" ref="S27:W27">BRISTO.OPT_EURO(C27,D27,J27,F27,N27,M27,H27,A27)</f>
        <v>43.342898340958811</v>
      </c>
      <c r="T27" s="11">
        <v>0.70096744496522012</v>
      </c>
      <c r="U27" s="5">
        <v>4.6059101566521682E-6</v>
      </c>
      <c r="V27" s="12">
        <v>1.2152364954744128E-2</v>
      </c>
      <c r="W27" s="13">
        <v>-1.5946144151204225E-2</v>
      </c>
      <c r="X27" s="13">
        <v>5.4032</v>
      </c>
      <c r="Y27" s="6">
        <f>-Y26</f>
        <v>-4500000</v>
      </c>
      <c r="Z27" s="3">
        <f>Y27*S27</f>
        <v>-195043042.53431466</v>
      </c>
      <c r="AA27" s="3">
        <f>Y27*U27*C27*1%*C27/X27</f>
        <v>-383.59852874101932</v>
      </c>
      <c r="AB27" s="6">
        <f>Y27*T27</f>
        <v>-3154353.5023434907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0.32436248590878375</v>
      </c>
      <c r="N28" s="9">
        <f>1/((1+G28)^J28)</f>
        <v>1</v>
      </c>
      <c r="O28" s="5">
        <f>LN(N28/M28)/J28</f>
        <v>1.0279898131629703</v>
      </c>
      <c r="P28" s="12">
        <f>(LN(C28/F28) + (O28 + (H28^2)/2)*J28) / (H28*SQRT(J28))</f>
        <v>3.6572115053209915</v>
      </c>
      <c r="Q28" s="12">
        <f>P28-H28*SQRT(J28)</f>
        <v>3.3894028822868769</v>
      </c>
      <c r="R28">
        <f>IF(D28="C",1,-1)</f>
        <v>-1</v>
      </c>
      <c r="S28" s="10" cm="1">
        <f t="array" ref="S28:W28">BRISTO.OPT_EURO(C28,D28,J28,F28,N28,M28,H28,A28)</f>
        <v>9.5784546856949926E-2</v>
      </c>
      <c r="T28" s="11">
        <v>-9.3500026217060335E-3</v>
      </c>
      <c r="U28" s="5">
        <v>8.9588529925394228E-4</v>
      </c>
      <c r="V28" s="12">
        <v>2.5109105265804423</v>
      </c>
      <c r="W28" s="13">
        <v>1.7229024073307298E-3</v>
      </c>
      <c r="X28" s="13">
        <v>5.4032</v>
      </c>
      <c r="Y28" s="6">
        <f>Y27</f>
        <v>-4500000</v>
      </c>
      <c r="Z28" s="3">
        <f>Y28*S28</f>
        <v>-431030.46085627464</v>
      </c>
      <c r="AA28" s="3">
        <f>Y28*U28*C28*1%*C28/X28</f>
        <v>-74612.893223325824</v>
      </c>
      <c r="AB28" s="6">
        <f>Y28*T28</f>
        <v>42075.011797677151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0.32436248590878375</v>
      </c>
      <c r="N29" s="9">
        <f>1/((1+G29)^J29)</f>
        <v>1</v>
      </c>
      <c r="O29" s="5">
        <f>LN(N29/M29)/J29</f>
        <v>1.0279898131629703</v>
      </c>
      <c r="P29" s="12">
        <f>(LN(C29/F29) + (O29 + (H29^2)/2)*J29) / (H29*SQRT(J29))</f>
        <v>3.6572115053209915</v>
      </c>
      <c r="Q29" s="12">
        <f>P29-H29*SQRT(J29)</f>
        <v>3.3894028822868769</v>
      </c>
      <c r="R29">
        <f>IF(D29="C",1,-1)</f>
        <v>1</v>
      </c>
      <c r="S29" s="10" cm="1">
        <f t="array" ref="S29:W29">BRISTO.OPT_EURO(C29,D29,J29,F29,N29,M29,H29,A29)</f>
        <v>30.060115025369733</v>
      </c>
      <c r="T29" s="11">
        <v>0.6916452591349036</v>
      </c>
      <c r="U29" s="5">
        <v>8.9588529925394228E-4</v>
      </c>
      <c r="V29" s="12">
        <v>2.5109105265804423</v>
      </c>
      <c r="W29" s="13">
        <v>-6.7314951266411086E-2</v>
      </c>
      <c r="X29" s="13">
        <v>5.4032</v>
      </c>
      <c r="Y29" s="6">
        <f>-Y28</f>
        <v>4500000</v>
      </c>
      <c r="Z29" s="3">
        <f>Y29*S29</f>
        <v>135270517.61416379</v>
      </c>
      <c r="AA29" s="3">
        <f>Y29*U29*C29*1%*C29/X29</f>
        <v>74612.893223325824</v>
      </c>
      <c r="AB29" s="6">
        <f>Y29*T29</f>
        <v>3112403.666107066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-60202793.545722336</v>
      </c>
    </row>
    <row r="31" spans="1:30" x14ac:dyDescent="0.25">
      <c r="Y31" t="s">
        <v>59</v>
      </c>
      <c r="Z31" s="3">
        <f>Z30-Z12</f>
        <v>-1000000.0000000447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bristo.lambdas</vt:lpstr>
      <vt:lpstr>ch1</vt:lpstr>
      <vt:lpstr>ch2</vt:lpstr>
      <vt:lpstr>ch3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2026-02-13T12:35:51Z</dcterms:modified>
</cp:coreProperties>
</file>