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57C94AFD-0B90-4A7C-B423-01B28FC1E5CB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AY" hidden="1" xlm="1">#NAME?</definedName>
    <definedName name="_xleta.DELTA" hidden="1" xlm="1">#NAME?</definedName>
    <definedName name="_xleta.GAMMA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SEQUENCE" hidden="1" xlm="1">#NAME?</definedName>
    <definedName name="_xleta.T" hidden="1" xlm="1">#NAME?</definedName>
    <definedName name="_xleta.TRANSPOSE" hidden="1" xlm="1">#NAME?</definedName>
    <definedName name="_xleta.TYPE" hidden="1" xlm="1">#NAME?</definedName>
    <definedName name="_xleta.VALUE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in" hidden="1" xlm="1">#NAME?</definedName>
    <definedName name="_xlop.tolerance" hidden="1" xlm="1">#NAME?</definedName>
    <definedName name="_xlop.weight" hidden="1" xlm="1">#NAME?</definedName>
    <definedName name="_xlpm.__start" hidden="1" xlm="1">#NAME?</definedName>
    <definedName name="_xlpm._all_data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_" hidden="1" xlm="1">#NAME?</definedName>
    <definedName name="_xlpm.a_o" hidden="1" xlm="1">#NAME?</definedName>
    <definedName name="_xlpm.a_on" hidden="1" xlm="1">#NAME?</definedName>
    <definedName name="_xlpm.a_one" hidden="1" xlm="1">#NAME?</definedName>
    <definedName name="_xlpm.a_ones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array" hidden="1" xlm="1">#NAME?</definedName>
    <definedName name="_xlpm.b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lc_price" hidden="1" xlm="1">#NAME?</definedName>
    <definedName name="_xlpm.chars" hidden="1" xlm="1">#NAME?</definedName>
    <definedName name="_xlpm.code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i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iry" hidden="1" xlm="1">#NAME?</definedName>
    <definedName name="_xlpm.f" hidden="1" xlm="1">#NAME?</definedName>
    <definedName name="_xlpm.final_bounds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ax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nes" hidden="1" xlm="1">#NAME?</definedName>
    <definedName name="_xlpm.output" hidden="1" xlm="1">#NAME?</definedName>
    <definedName name="_xlpm.output_selector" hidden="1" xlm="1">#NAME?</definedName>
    <definedName name="_xlpm.premium" hidden="1" xlm="1">#NAME?</definedName>
    <definedName name="_xlpm.price" hidden="1" xlm="1">#NAME?</definedName>
    <definedName name="_xlpm.r" hidden="1" xlm="1">#NAME?</definedName>
    <definedName name="_xlpm.r_2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ho" hidden="1" xlm="1">#NAME?</definedName>
    <definedName name="_xlpm.row" hidden="1" xlm="1">#NAME?</definedName>
    <definedName name="_xlpm.rows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lector" hidden="1" xlm="1">#NAME?</definedName>
    <definedName name="_xlpm.sigma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ype" hidden="1" xlm="1">#NAME?</definedName>
    <definedName name="_xlpm.v" hidden="1" xlm="1">#NAME?</definedName>
    <definedName name="_xlpm.v_min" hidden="1" xlm="1">#NAME?</definedName>
    <definedName name="_xlpm.v_targe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l" hidden="1" xlm="1">#NAME?</definedName>
    <definedName name="_xlpm.val_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ariance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" hidden="1" xlm="1">#NAME?</definedName>
    <definedName name="_xlpm.wday" hidden="1" xlm="1">#NAME?</definedName>
    <definedName name="_xlpm.we" hidden="1" xlm="1">#NAME?</definedName>
    <definedName name="_xlpm.wei" hidden="1" xlm="1">#NAME?</definedName>
    <definedName name="_xlpm.weig" hidden="1" xlm="1">#NAME?</definedName>
    <definedName name="_xlpm.weigh" hidden="1" xlm="1">#NAME?</definedName>
    <definedName name="_xlpm.weighs" hidden="1" xlm="1">#NAME?</definedName>
    <definedName name="_xlpm.weight" hidden="1" xlm="1">#NAME?</definedName>
    <definedName name="_xlpm.ww" hidden="1" xlm="1">#NAME?</definedName>
    <definedName name="_xlpm.wwi" hidden="1" xlm="1">#NAME?</definedName>
    <definedName name="_xlpm.wwig" hidden="1" xlm="1">#NAME?</definedName>
    <definedName name="_xlpm.x" hidden="1" xlm="1">#NAME?</definedName>
    <definedName name="_xlpm.x_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col" hidden="1" xlm="1">#NAME?</definedName>
    <definedName name="_xlpm.x_range" hidden="1" xlm="1">#NAME?</definedName>
    <definedName name="_xlpm.x_target" hidden="1" xlm="1">#NAME?</definedName>
    <definedName name="_xlpm.x_v" hidden="1" xlm="1">#NAME?</definedName>
    <definedName name="_xlpm.x_ve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vec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_xlfn.LAMBDA(_xlpm.y,_xlpm.x_range,_xlop.weight,
  _xlfn.LET(
    _xlpm.y_vec, _xlpm.y,
    _xlpm.x_col, _xlpm.x_range,
    _xlpm.ones, _xlfn.SEQUENCE(ROWS(_xlpm.y_vec),,1,0),
    _xlpm.X, _xlfn.HSTACK(_xlpm.ones, _xlpm.x_col),
    _xlpm.W,IF(_xlfn.ISOMITTED(_xlpm.weight),BRISTO.MDIAG(_xlfn.SEQUENCE(ROWS(_xlpm.y),,1,0)),BRISTO.MDIAG(_xlpm.weight)),
    _xlpm.XTX, MMULT(MMULT(TRANSPOSE(_xlpm.X),_xlpm.W), _xlpm.X),
    _xlpm.XTX_inv, MINVERSE(_xlpm.XTX),
    _xlpm.XTy, MMULT(MMULT(TRANSPOSE(_xlpm.X),_xlpm.W), _xlpm.y_vec),
    MMULT(_xlpm.XTX_inv, _xlpm.XTy)
))</definedName>
    <definedName name="BRISTO.OLS_COVMATRIX">_xlfn.LAMBDA(_xlpm.x_range,
  MINVERSE(MMULT(TRANSPOSE(_xlpm.x_range),_xlpm.x_range))
)</definedName>
    <definedName name="BRISTO.OLS_VARIANCE">_xlfn.LAMBDA(_xlpm.y,_xlpm.x_range,
  _xlfn.LET(
    _xlpm.a,BRISTO.OLS(_xlpm.y,_xlpm.x_range),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_xlfn.HSTACK(_xlpm.sse,_xlpm.ssr,_xlpm.ssto,_xlpm.variance,_xlpm.r_2)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WLS">_xlfn.LAMBDA(_xlpm.x,_xlpm.y,
  _xlpm.x*_xlpm.y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" i="8" l="1" a="1"/>
  <c r="C71" i="8" a="1"/>
  <c r="C71" i="8" s="1"/>
  <c r="C12" i="1" a="1"/>
  <c r="C12" i="1" s="1"/>
  <c r="F18" i="1" a="1"/>
  <c r="F18" i="1" s="1"/>
  <c r="F10" i="1" a="1"/>
  <c r="C15" i="1" a="1"/>
  <c r="C15" i="1" s="1"/>
  <c r="F59" i="8" a="1"/>
  <c r="F59" i="8" s="1"/>
  <c r="F60" i="8" s="1"/>
  <c r="F65" i="8" a="1"/>
  <c r="C14" i="1" a="1"/>
  <c r="C14" i="1" s="1"/>
  <c r="F64" i="8" a="1"/>
  <c r="F64" i="8" s="1"/>
  <c r="F58" i="8" a="1"/>
  <c r="F58" i="8" s="1"/>
  <c r="C13" i="1" a="1"/>
  <c r="C13" i="1" s="1"/>
  <c r="J32" i="8" a="1"/>
  <c r="J32" i="8" s="1"/>
  <c r="J30" i="8" a="1"/>
  <c r="J30" i="8" s="1"/>
  <c r="F30" i="8" a="1"/>
  <c r="F30" i="8" s="1"/>
  <c r="O39" i="8" a="1"/>
  <c r="N30" i="8" a="1"/>
  <c r="N30" i="8" s="1"/>
  <c r="C30" i="8" a="1"/>
  <c r="C30" i="8" s="1"/>
  <c r="B43" i="8" a="1"/>
  <c r="B30" i="8" a="1"/>
  <c r="B25" i="8" a="1"/>
  <c r="B25" i="8" s="1"/>
  <c r="C22" i="8" a="1"/>
  <c r="C22" i="8" s="1"/>
  <c r="D22" i="8" s="1" a="1"/>
  <c r="D22" i="8" s="1"/>
  <c r="E22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C74" i="8" l="1" a="1"/>
  <c r="B74" i="8"/>
  <c r="F10" i="1"/>
  <c r="F22" i="1" a="1"/>
  <c r="F22" i="1" s="1"/>
  <c r="F65" i="8"/>
  <c r="F69" i="8"/>
  <c r="G69" i="8" s="1"/>
  <c r="F68" i="8"/>
  <c r="G68" i="8" s="1"/>
  <c r="O39" i="8"/>
  <c r="N44" i="8" s="1"/>
  <c r="F38" i="8"/>
  <c r="B43" i="8"/>
  <c r="B30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N18" i="3"/>
  <c r="N17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C74" i="8" l="1"/>
  <c r="O17" i="3"/>
  <c r="P17" i="3" s="1"/>
  <c r="Q17" i="3" s="1"/>
  <c r="S17" i="3" a="1"/>
  <c r="O19" i="3"/>
  <c r="P19" i="3" s="1"/>
  <c r="Q19" i="3" s="1"/>
  <c r="S19" i="3" a="1"/>
  <c r="C40" i="8" a="1"/>
  <c r="G60" i="8" s="1"/>
  <c r="O18" i="3"/>
  <c r="P18" i="3" s="1"/>
  <c r="Q18" i="3" s="1"/>
  <c r="S18" i="3" a="1"/>
  <c r="V3" i="3"/>
  <c r="T3" i="3"/>
  <c r="U3" i="3"/>
  <c r="Q3" i="3"/>
  <c r="V6" i="3"/>
  <c r="V25" i="3" s="1"/>
  <c r="T6" i="3"/>
  <c r="U6" i="3"/>
  <c r="Q6" i="3"/>
  <c r="AA9" i="5"/>
  <c r="AB9" i="5"/>
  <c r="S9" i="5"/>
  <c r="O9" i="5"/>
  <c r="P9" i="5" s="1"/>
  <c r="Q9" i="5" s="1"/>
  <c r="S8" i="5"/>
  <c r="AA8" i="5"/>
  <c r="AB8" i="5"/>
  <c r="O8" i="5"/>
  <c r="P8" i="5" s="1"/>
  <c r="Q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Q5" i="3"/>
  <c r="T5" i="3"/>
  <c r="U5" i="3"/>
  <c r="V5" i="3"/>
  <c r="T11" i="3"/>
  <c r="Q11" i="3"/>
  <c r="V11" i="3"/>
  <c r="U11" i="3"/>
  <c r="Q4" i="3"/>
  <c r="T4" i="3"/>
  <c r="U4" i="3"/>
  <c r="V4" i="3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V22" i="3" l="1"/>
  <c r="S17" i="3"/>
  <c r="AB17" i="3" s="1" a="1"/>
  <c r="AB17" i="3" s="1"/>
  <c r="AC17" i="3" s="1"/>
  <c r="AA17" i="3"/>
  <c r="Z17" i="3"/>
  <c r="Z9" i="5"/>
  <c r="AC9" i="5" a="1"/>
  <c r="AC9" i="5" s="1"/>
  <c r="AD9" i="5" s="1"/>
  <c r="V24" i="3"/>
  <c r="S19" i="3"/>
  <c r="AB19" i="3" s="1" a="1"/>
  <c r="AB19" i="3" s="1"/>
  <c r="AC19" i="3" s="1"/>
  <c r="Z19" i="3"/>
  <c r="AA19" i="3"/>
  <c r="Z8" i="5"/>
  <c r="AC8" i="5" a="1"/>
  <c r="AC8" i="5" s="1"/>
  <c r="AD8" i="5" s="1"/>
  <c r="AA18" i="3"/>
  <c r="Z18" i="3"/>
  <c r="S18" i="3"/>
  <c r="AB18" i="3" s="1" a="1"/>
  <c r="AB18" i="3" s="1"/>
  <c r="AC18" i="3" s="1"/>
  <c r="V23" i="3"/>
  <c r="C40" i="8"/>
  <c r="C43" i="8" a="1"/>
  <c r="AA3" i="3"/>
  <c r="AA22" i="3" s="1"/>
  <c r="T22" i="3"/>
  <c r="Z3" i="3"/>
  <c r="U22" i="3"/>
  <c r="S3" i="3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T24" i="3"/>
  <c r="Z5" i="3"/>
  <c r="U24" i="3"/>
  <c r="AA4" i="3"/>
  <c r="T23" i="3"/>
  <c r="Z4" i="3"/>
  <c r="U23" i="3"/>
  <c r="S5" i="3"/>
  <c r="W5" i="3"/>
  <c r="W24" i="3" s="1"/>
  <c r="S11" i="3"/>
  <c r="W11" i="3"/>
  <c r="Z11" i="3"/>
  <c r="W4" i="3"/>
  <c r="W23" i="3" s="1"/>
  <c r="S4" i="3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Z22" i="3" l="1"/>
  <c r="S22" i="3"/>
  <c r="AA24" i="3"/>
  <c r="S24" i="3"/>
  <c r="Z24" i="3"/>
  <c r="D31" i="8"/>
  <c r="E31" i="8" s="1"/>
  <c r="D32" i="8"/>
  <c r="E32" i="8" s="1"/>
  <c r="D33" i="8"/>
  <c r="E33" i="8" s="1"/>
  <c r="D34" i="8"/>
  <c r="E34" i="8" s="1"/>
  <c r="D35" i="8"/>
  <c r="E35" i="8" s="1"/>
  <c r="D36" i="8"/>
  <c r="E36" i="8" s="1"/>
  <c r="D37" i="8"/>
  <c r="E37" i="8" s="1"/>
  <c r="D30" i="8"/>
  <c r="AA23" i="3"/>
  <c r="Z23" i="3"/>
  <c r="S23" i="3"/>
  <c r="C43" i="8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E30" i="8" l="1"/>
  <c r="E38" i="8" s="1"/>
  <c r="E39" i="8" s="1"/>
  <c r="G30" i="8" a="1"/>
  <c r="M26" i="5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G30" i="8" l="1"/>
  <c r="G38" i="8" s="1"/>
  <c r="S26" i="5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H38" i="8" l="1"/>
  <c r="E40" i="8"/>
  <c r="AA26" i="5"/>
  <c r="S26" i="5"/>
  <c r="AB26" i="5"/>
  <c r="AB29" i="5"/>
  <c r="S29" i="5"/>
  <c r="Z29" i="5" s="1"/>
  <c r="AA29" i="5"/>
  <c r="S28" i="5"/>
  <c r="Z28" i="5" s="1"/>
  <c r="AA28" i="5"/>
  <c r="AB28" i="5"/>
  <c r="AC28" i="5" a="1"/>
  <c r="AC28" i="5" s="1"/>
  <c r="AD28" i="5" s="1"/>
  <c r="AC27" i="5" a="1"/>
  <c r="AC27" i="5" s="1"/>
  <c r="AD27" i="5" s="1"/>
  <c r="Z27" i="5"/>
  <c r="AC29" i="5" a="1"/>
  <c r="AC29" i="5" s="1"/>
  <c r="AD29" i="5" s="1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26" i="5" l="1"/>
  <c r="AC26" i="5" a="1"/>
  <c r="AC26" i="5" s="1"/>
  <c r="AD26" i="5" s="1"/>
  <c r="Z30" i="5"/>
  <c r="Z31" i="5" s="1"/>
  <c r="H34" i="3"/>
  <c r="L34" i="3"/>
  <c r="M34" i="3" s="1"/>
  <c r="H35" i="3"/>
  <c r="AG13" i="3" l="1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<sst xmlns="http://schemas.openxmlformats.org/spreadsheetml/2006/main" count="286" uniqueCount="114">
  <si>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</si>
  <si>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</si>
  <si>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</si>
  <si>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</si>
  <si>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</si>
  <si>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</si>
  <si>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</si>
  <si>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</si>
  <si>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</si>
  <si>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</si>
  <si>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</si>
  <si>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</si>
  <si>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</si>
  <si>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</si>
  <si>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</si>
  <si>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</si>
  <si>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</si>
  <si>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</si>
  <si>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</si>
  <si>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</si>
  <si>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</si>
  <si>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</si>
  <si>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</si>
  <si>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</si>
  <si>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</si>
  <si>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</si>
  <si>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</si>
  <si>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</si>
  <si>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</si>
  <si>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</si>
  <si>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</si>
  <si>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</si>
  <si>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</si>
  <si>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</si>
  <si>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</si>
  <si>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</si>
  <si>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</si>
  <si>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</si>
  <si>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</si>
  <si>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</si>
  <si>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</si>
  <si>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</si>
  <si>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</si>
  <si>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</si>
  <si>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</si>
  <si>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</si>
  <si>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</si>
  <si>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</si>
  <si>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</si>
  <si>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</si>
  <si>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</si>
  <si>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</si>
  <si>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</si>
  <si>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</si>
  <si>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</si>
  <si>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</si>
  <si>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</si>
  <si>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</si>
  <si>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</si>
  <si>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</si>
  <si>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</si>
  <si>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</si>
  <si>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</si>
  <si>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</si>
  <si>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</si>
  <si>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</si>
  <si>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</si>
  <si>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</si>
  <si>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</si>
  <si>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</si>
  <si>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</si>
  <si>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</si>
  <si>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</si>
  <si>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</si>
  <si>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</si>
  <si>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</si>
  <si>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</si>
  <si>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</si>
  <si>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</si>
  <si>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</si>
  <si>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Complex Numbers - Operations</t>
  </si>
  <si>
    <t>f(x)</t>
  </si>
  <si>
    <t>bisect</t>
  </si>
  <si>
    <t>bisect method</t>
  </si>
  <si>
    <t>newton rapson - method</t>
  </si>
  <si>
    <t>BRISTO.OLS</t>
  </si>
  <si>
    <t>ols</t>
  </si>
  <si>
    <t>a0</t>
  </si>
  <si>
    <t>a1</t>
  </si>
  <si>
    <t>x1</t>
  </si>
  <si>
    <t>x2</t>
  </si>
  <si>
    <t>a2</t>
  </si>
  <si>
    <t>regression</t>
  </si>
  <si>
    <t>SSE</t>
  </si>
  <si>
    <t>SSTO</t>
  </si>
  <si>
    <t>SSR</t>
  </si>
  <si>
    <t>variance</t>
  </si>
  <si>
    <t>sse</t>
  </si>
  <si>
    <t>ssr</t>
  </si>
  <si>
    <t>ssto</t>
  </si>
  <si>
    <t>r^2</t>
  </si>
  <si>
    <t>measures</t>
  </si>
  <si>
    <t>cov matrix</t>
  </si>
  <si>
    <t>std error b</t>
  </si>
  <si>
    <t>std error</t>
  </si>
  <si>
    <t>t-statics</t>
  </si>
  <si>
    <t>b0</t>
  </si>
  <si>
    <t>b1</t>
  </si>
  <si>
    <t>BRISTO.OLS_VARIANCE</t>
  </si>
  <si>
    <t>BRISTO.OLS_COVMATRIX</t>
  </si>
  <si>
    <t>BRISTO.MDIAG</t>
  </si>
  <si>
    <t>w</t>
  </si>
  <si>
    <t>w ols</t>
  </si>
  <si>
    <t>pls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</si>
</sst>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'ch1'!$C$29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'ch1'!$B$30:$B$37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'ch1'!$C$30:$C$37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'ch1'!$B$43:$B$64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'ch1'!$C$43:$C$64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'ch1'!$C$29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'ch1'!$B$30:$B$37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'ch1'!$C$30:$C$37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A-476B-AE2D-3F5A633DAB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'ch1'!$B$74:$B$95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'ch1'!$C$74:$C$95</c:f>
              <c:numCache>
                <c:formatCode>General</c:formatCode>
                <c:ptCount val="22"/>
                <c:pt idx="0">
                  <c:v>7.2668874172185394</c:v>
                </c:pt>
                <c:pt idx="1">
                  <c:v>9.2498896247240587</c:v>
                </c:pt>
                <c:pt idx="2">
                  <c:v>11.232891832229578</c:v>
                </c:pt>
                <c:pt idx="3">
                  <c:v>13.215894039735097</c:v>
                </c:pt>
                <c:pt idx="4">
                  <c:v>15.198896247240617</c:v>
                </c:pt>
                <c:pt idx="5">
                  <c:v>17.181898454746136</c:v>
                </c:pt>
                <c:pt idx="6">
                  <c:v>19.164900662251654</c:v>
                </c:pt>
                <c:pt idx="7">
                  <c:v>21.147902869757175</c:v>
                </c:pt>
                <c:pt idx="8">
                  <c:v>23.130905077262696</c:v>
                </c:pt>
                <c:pt idx="9">
                  <c:v>25.113907284768214</c:v>
                </c:pt>
                <c:pt idx="10">
                  <c:v>27.096909492273731</c:v>
                </c:pt>
                <c:pt idx="11">
                  <c:v>29.079911699779252</c:v>
                </c:pt>
                <c:pt idx="12">
                  <c:v>31.062913907284774</c:v>
                </c:pt>
                <c:pt idx="13">
                  <c:v>33.045916114790288</c:v>
                </c:pt>
                <c:pt idx="14">
                  <c:v>35.028918322295809</c:v>
                </c:pt>
                <c:pt idx="15">
                  <c:v>37.01192052980133</c:v>
                </c:pt>
                <c:pt idx="16">
                  <c:v>38.994922737306851</c:v>
                </c:pt>
                <c:pt idx="17">
                  <c:v>40.977924944812372</c:v>
                </c:pt>
                <c:pt idx="18">
                  <c:v>42.960927152317886</c:v>
                </c:pt>
                <c:pt idx="19">
                  <c:v>44.943929359823407</c:v>
                </c:pt>
                <c:pt idx="20">
                  <c:v>46.926931567328928</c:v>
                </c:pt>
                <c:pt idx="21">
                  <c:v>48.909933774834442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AA-476B-AE2D-3F5A633DA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40</xdr:row>
      <xdr:rowOff>133350</xdr:rowOff>
    </xdr:from>
    <xdr:to>
      <xdr:col>11</xdr:col>
      <xdr:colOff>171450</xdr:colOff>
      <xdr:row>54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70</xdr:row>
      <xdr:rowOff>38100</xdr:rowOff>
    </xdr:from>
    <xdr:to>
      <xdr:col>10</xdr:col>
      <xdr:colOff>561976</xdr:colOff>
      <xdr:row>83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5FAF93-8FBD-4548-A5DF-55A66D282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5" totalsRowShown="0">
  <autoFilter ref="B4:C15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J1014"/>
  <sheetViews>
    <sheetView workbookViewId="0">
      <selection activeCell="C12" sqref="C12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F10" cm="1">
        <f t="array" ref="F10:F14">_xlfn.SEQUENCE(5,,1,3)</f>
        <v>1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F11">
        <v>4</v>
      </c>
      <c r="G11" s="2"/>
    </row>
    <row r="12" spans="2:7" x14ac:dyDescent="0.25">
      <c r="B12" t="s">
        <v>85</v>
      </c>
      <c r="C12" t="e" cm="1" vm="1">
        <f t="array" ref="C12">_xlfn.LAMBDA(_xlpm.y,_xlpm.x_range,_xlop.weight,
  _xlfn.LET(
    _xlpm.y_vec, _xlpm.y,
    _xlpm.x_col, _xlpm.x_range,
    _xlpm.ones, _xlfn.SEQUENCE(ROWS(_xlpm.y_vec),,1,0),
    _xlpm.X, _xlfn.HSTACK(_xlpm.ones, _xlpm.x_col),
    _xlpm.W,IF(_xlfn.ISOMITTED(_xlpm.weight),BRISTO.MDIAG(_xlfn.SEQUENCE(ROWS(_xlpm.y),,1,0)),BRISTO.MDIAG(_xlpm.weight)),
    _xlpm.XTX, MMULT(MMULT(TRANSPOSE(_xlpm.X),_xlpm.W), _xlpm.X),
    _xlpm.XTX_inv, MINVERSE(_xlpm.XTX),
    _xlpm.XTy, MMULT(MMULT(TRANSPOSE(_xlpm.X),_xlpm.W), _xlpm.y_vec),
    MMULT(_xlpm.XTX_inv, _xlpm.XTy)
))</f>
        <v>#VALUE!</v>
      </c>
      <c r="F12">
        <v>7</v>
      </c>
      <c r="G12" s="2"/>
    </row>
    <row r="13" spans="2:7" x14ac:dyDescent="0.25">
      <c r="B13" t="s">
        <v>108</v>
      </c>
      <c r="C13" t="e" cm="1" vm="1">
        <f t="array" ref="C13">_xlfn.LAMBDA(_xlpm.y,_xlpm.x_range,
  _xlfn.LET(
    _xlpm.a,BRISTO.OLS(_xlpm.y,_xlpm.x_range),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_xlfn.HSTACK(_xlpm.sse,_xlpm.ssr,_xlpm.ssto,_xlpm.variance,_xlpm.r_2)
  )
)</f>
        <v>#VALUE!</v>
      </c>
      <c r="F13">
        <v>10</v>
      </c>
      <c r="G13" s="2"/>
    </row>
    <row r="14" spans="2:7" x14ac:dyDescent="0.25">
      <c r="B14" t="s">
        <v>109</v>
      </c>
      <c r="C14" t="e" cm="1" vm="1">
        <f t="array" ref="C14">_xlfn.LAMBDA(_xlpm.x_range,
  MINVERSE(MMULT(TRANSPOSE(_xlpm.x_range),_xlpm.x_range))
)</f>
        <v>#VALUE!</v>
      </c>
      <c r="F14">
        <v>13</v>
      </c>
      <c r="G14" s="2"/>
    </row>
    <row r="15" spans="2:7" x14ac:dyDescent="0.25">
      <c r="B15" t="s">
        <v>110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  <c r="G15" s="2"/>
    </row>
    <row r="16" spans="2:7" x14ac:dyDescent="0.25">
      <c r="G16" s="2"/>
    </row>
    <row r="17" spans="6:10" x14ac:dyDescent="0.25">
      <c r="G17" s="2"/>
    </row>
    <row r="18" spans="6:10" x14ac:dyDescent="0.25">
      <c r="F18" s="6" cm="1">
        <f t="array" ref="F18:H20">BRISTO.MDIAG(_xlfn.SEQUENCE(3,,1,0))</f>
        <v>1</v>
      </c>
      <c r="G18" s="6">
        <v>0</v>
      </c>
      <c r="H18" s="6">
        <v>0</v>
      </c>
    </row>
    <row r="19" spans="6:10" x14ac:dyDescent="0.25">
      <c r="F19" s="6">
        <v>0</v>
      </c>
      <c r="G19" s="6">
        <v>1</v>
      </c>
      <c r="H19" s="6">
        <v>0</v>
      </c>
    </row>
    <row r="20" spans="6:10" x14ac:dyDescent="0.25">
      <c r="F20" s="6">
        <v>0</v>
      </c>
      <c r="G20" s="6">
        <v>0</v>
      </c>
      <c r="H20" s="6">
        <v>1</v>
      </c>
    </row>
    <row r="21" spans="6:10" x14ac:dyDescent="0.25">
      <c r="G21" s="2"/>
    </row>
    <row r="22" spans="6:10" x14ac:dyDescent="0.25">
      <c r="F22" s="6" cm="1">
        <f t="array" ref="F22:J26">BRISTO.MDIAG(_xlfn.ANCHORARRAY(F10))</f>
        <v>1</v>
      </c>
      <c r="G22" s="6">
        <v>0</v>
      </c>
      <c r="H22" s="6">
        <v>0</v>
      </c>
      <c r="I22" s="6">
        <v>0</v>
      </c>
      <c r="J22" s="6">
        <v>0</v>
      </c>
    </row>
    <row r="23" spans="6:10" x14ac:dyDescent="0.25">
      <c r="F23" s="6">
        <v>0</v>
      </c>
      <c r="G23" s="6">
        <v>4</v>
      </c>
      <c r="H23" s="6">
        <v>0</v>
      </c>
      <c r="I23" s="6">
        <v>0</v>
      </c>
      <c r="J23" s="6">
        <v>0</v>
      </c>
    </row>
    <row r="24" spans="6:10" x14ac:dyDescent="0.25">
      <c r="F24" s="6">
        <v>0</v>
      </c>
      <c r="G24" s="6">
        <v>0</v>
      </c>
      <c r="H24" s="6">
        <v>7</v>
      </c>
      <c r="I24" s="6">
        <v>0</v>
      </c>
      <c r="J24" s="6">
        <v>0</v>
      </c>
    </row>
    <row r="25" spans="6:10" x14ac:dyDescent="0.25">
      <c r="F25" s="6">
        <v>0</v>
      </c>
      <c r="G25" s="6">
        <v>0</v>
      </c>
      <c r="H25" s="6">
        <v>0</v>
      </c>
      <c r="I25" s="6">
        <v>10</v>
      </c>
      <c r="J25" s="6">
        <v>0</v>
      </c>
    </row>
    <row r="26" spans="6:10" x14ac:dyDescent="0.25">
      <c r="F26" s="6">
        <v>0</v>
      </c>
      <c r="G26" s="6">
        <v>0</v>
      </c>
      <c r="H26" s="6">
        <v>0</v>
      </c>
      <c r="I26" s="6">
        <v>0</v>
      </c>
      <c r="J26" s="6">
        <v>13</v>
      </c>
    </row>
    <row r="27" spans="6:10" x14ac:dyDescent="0.25">
      <c r="G27" s="2"/>
    </row>
    <row r="28" spans="6:10" x14ac:dyDescent="0.25">
      <c r="G28" s="2"/>
    </row>
    <row r="29" spans="6:10" x14ac:dyDescent="0.25">
      <c r="G29" s="2"/>
    </row>
    <row r="30" spans="6:10" x14ac:dyDescent="0.25">
      <c r="G30" s="2"/>
    </row>
    <row r="31" spans="6:10" x14ac:dyDescent="0.25">
      <c r="G31" s="2"/>
    </row>
    <row r="32" spans="6:10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A2:P95"/>
  <sheetViews>
    <sheetView tabSelected="1" topLeftCell="A27" zoomScale="70" zoomScaleNormal="70" workbookViewId="0">
      <selection activeCell="B40" sqref="B40"/>
    </sheetView>
  </sheetViews>
  <sheetFormatPr defaultRowHeight="15" x14ac:dyDescent="0.25"/>
  <cols>
    <col min="2" max="2" width="12.5703125" customWidth="1"/>
    <col min="5" max="5" width="12.7109375" bestFit="1" customWidth="1"/>
  </cols>
  <sheetData>
    <row r="2" spans="2:4" x14ac:dyDescent="0.25">
      <c r="B2" s="14" t="s">
        <v>80</v>
      </c>
    </row>
    <row r="4" spans="2:4" x14ac:dyDescent="0.25">
      <c r="B4" s="14" t="s">
        <v>67</v>
      </c>
      <c r="C4">
        <v>11</v>
      </c>
      <c r="D4">
        <v>-3</v>
      </c>
    </row>
    <row r="5" spans="2:4" x14ac:dyDescent="0.25">
      <c r="B5" s="14" t="s">
        <v>68</v>
      </c>
      <c r="C5">
        <v>3</v>
      </c>
      <c r="D5">
        <v>4</v>
      </c>
    </row>
    <row r="6" spans="2:4" x14ac:dyDescent="0.25">
      <c r="B6" s="14" t="s">
        <v>69</v>
      </c>
      <c r="C6" t="str">
        <f>COMPLEX(C4,C5)</f>
        <v>11+3i</v>
      </c>
      <c r="D6" t="str">
        <f>COMPLEX(D4,D5)</f>
        <v>-3+4i</v>
      </c>
    </row>
    <row r="7" spans="2:4" x14ac:dyDescent="0.25">
      <c r="B7" s="14" t="s">
        <v>76</v>
      </c>
      <c r="C7" t="str">
        <f>IMSUM(C6:D6)</f>
        <v>8+7i</v>
      </c>
    </row>
    <row r="8" spans="2:4" x14ac:dyDescent="0.25">
      <c r="B8" s="14" t="s">
        <v>77</v>
      </c>
      <c r="C8" t="str">
        <f>IMSUB(C6,D6)</f>
        <v>14-i</v>
      </c>
    </row>
    <row r="9" spans="2:4" x14ac:dyDescent="0.25">
      <c r="B9" s="14" t="s">
        <v>78</v>
      </c>
      <c r="C9" t="str">
        <f>IMPRODUCT(C6:D6)</f>
        <v>-45+35i</v>
      </c>
    </row>
    <row r="10" spans="2:4" x14ac:dyDescent="0.25">
      <c r="B10" s="14" t="s">
        <v>79</v>
      </c>
      <c r="C10" t="str">
        <f>IMDIV(C6,D6)</f>
        <v>-0.84-2.12i</v>
      </c>
    </row>
    <row r="12" spans="2:4" x14ac:dyDescent="0.25">
      <c r="B12" s="14" t="s">
        <v>67</v>
      </c>
      <c r="C12">
        <v>4</v>
      </c>
    </row>
    <row r="13" spans="2:4" x14ac:dyDescent="0.25">
      <c r="B13" s="14" t="s">
        <v>68</v>
      </c>
      <c r="C13">
        <v>5</v>
      </c>
    </row>
    <row r="14" spans="2:4" x14ac:dyDescent="0.25">
      <c r="B14" s="14" t="s">
        <v>69</v>
      </c>
      <c r="C14" t="str">
        <f>COMPLEX(C12,C13)</f>
        <v>4+5i</v>
      </c>
    </row>
    <row r="15" spans="2:4" x14ac:dyDescent="0.25">
      <c r="B15" s="14" t="s">
        <v>70</v>
      </c>
      <c r="C15" t="str">
        <f>IMCONJUGATE(C14)</f>
        <v>4-5i</v>
      </c>
    </row>
    <row r="16" spans="2:4" x14ac:dyDescent="0.25">
      <c r="B16" s="14" t="s">
        <v>71</v>
      </c>
      <c r="C16" t="str">
        <f>IMSQRT(C14)</f>
        <v>2.2806933416653+1.09615788950152i</v>
      </c>
    </row>
    <row r="17" spans="1:16" x14ac:dyDescent="0.25">
      <c r="B17" s="14" t="s">
        <v>72</v>
      </c>
      <c r="C17" t="str">
        <f>IMEXP(C14)</f>
        <v>15.4874305606508-52.355491418482i</v>
      </c>
    </row>
    <row r="18" spans="1:16" x14ac:dyDescent="0.25">
      <c r="B18" s="14" t="s">
        <v>73</v>
      </c>
      <c r="C18" t="str">
        <f>IMLN(C14)</f>
        <v>1.85678603335215+0.896055384571344i</v>
      </c>
    </row>
    <row r="20" spans="1:16" x14ac:dyDescent="0.25">
      <c r="B20" s="14" t="s">
        <v>83</v>
      </c>
    </row>
    <row r="21" spans="1:16" x14ac:dyDescent="0.25">
      <c r="B21" s="14" t="s">
        <v>74</v>
      </c>
      <c r="C21" s="14" t="s">
        <v>81</v>
      </c>
      <c r="D21" s="14" t="s">
        <v>82</v>
      </c>
      <c r="E21" s="14" t="s">
        <v>59</v>
      </c>
    </row>
    <row r="22" spans="1:16" x14ac:dyDescent="0.25">
      <c r="B22" s="3">
        <v>3.5</v>
      </c>
      <c r="C22" s="3" cm="1">
        <f t="array" ref="C22">_xlfn.LAMBDA(_xlpm.x,2*_xlpm.x-7)(B22)</f>
        <v>0</v>
      </c>
      <c r="D22" s="3" cm="1">
        <f t="array" ref="D22">BRISTO.BISECT(_xlfn.LAMBDA(_xlpm.x,2*_xlpm.x-7),C22,-10,10)</f>
        <v>3.4999990463256836</v>
      </c>
      <c r="E22" s="3">
        <f>B22-D22</f>
        <v>9.5367431640625E-7</v>
      </c>
    </row>
    <row r="24" spans="1:16" x14ac:dyDescent="0.25">
      <c r="B24" s="14" t="s">
        <v>84</v>
      </c>
    </row>
    <row r="25" spans="1:16" x14ac:dyDescent="0.25">
      <c r="B25" cm="1">
        <f t="array" ref="B25">BRISTO.ROOT_SOLVER(_xlfn.LAMBDA(_xlpm.x,2*_xlpm.x-7),0)</f>
        <v>3.5</v>
      </c>
    </row>
    <row r="28" spans="1:16" x14ac:dyDescent="0.25">
      <c r="B28" s="14" t="s">
        <v>86</v>
      </c>
    </row>
    <row r="29" spans="1:16" x14ac:dyDescent="0.25">
      <c r="A29" t="s">
        <v>111</v>
      </c>
      <c r="B29" t="s">
        <v>74</v>
      </c>
      <c r="C29" t="s">
        <v>75</v>
      </c>
      <c r="D29" t="s">
        <v>92</v>
      </c>
      <c r="E29" t="s">
        <v>93</v>
      </c>
      <c r="F29" t="s">
        <v>94</v>
      </c>
      <c r="G29" t="s">
        <v>95</v>
      </c>
      <c r="H29" t="s">
        <v>59</v>
      </c>
      <c r="N29" t="s">
        <v>75</v>
      </c>
      <c r="O29" t="s">
        <v>89</v>
      </c>
      <c r="P29" t="s">
        <v>90</v>
      </c>
    </row>
    <row r="30" spans="1:16" x14ac:dyDescent="0.25">
      <c r="A30">
        <v>1</v>
      </c>
      <c r="B30" cm="1">
        <f t="array" ref="B30:B37">_xlfn.SEQUENCE(8,,,3)</f>
        <v>1</v>
      </c>
      <c r="C30" cm="1">
        <f t="array" ref="C30:C37">_xlfn.ANCHORARRAY(B30)*2+3+MOD(_xlfn.ANCHORARRAY(B30),2)*3.5</f>
        <v>8.5</v>
      </c>
      <c r="D30">
        <f>$C$40+B30*$C$41</f>
        <v>7.3333333333333446</v>
      </c>
      <c r="E30" s="3">
        <f>(D30-C30)^2</f>
        <v>1.361111111111085</v>
      </c>
      <c r="F30" cm="1">
        <f t="array" ref="F30:F37">(AVERAGE(_xlfn.ANCHORARRAY(C30))*_xlfn.SEQUENCE(8,,1,0)-_xlfn.ANCHORARRAY(C30))^2</f>
        <v>370.5625</v>
      </c>
      <c r="G30" cm="1">
        <f t="array" ref="G30:G37">(AVERAGE(_xlfn.ANCHORARRAY(C30))*_xlfn.SEQUENCE(8,,1,0)-D30:D37)^2</f>
        <v>416.84027777777737</v>
      </c>
      <c r="J30" cm="1">
        <f t="array" ref="J30">MINVERSE(MMULT(TRANSPOSE(_xlfn.ANCHORARRAY(B30)),_xlfn.ANCHORARRAY(B30)))</f>
        <v>6.9637883008356546E-4</v>
      </c>
      <c r="N30" cm="1">
        <f t="array" ref="N30:N37">_xlfn.ANCHORARRAY(C30)</f>
        <v>8.5</v>
      </c>
      <c r="O30">
        <v>2</v>
      </c>
      <c r="P30">
        <v>4</v>
      </c>
    </row>
    <row r="31" spans="1:16" x14ac:dyDescent="0.25">
      <c r="A31">
        <v>1</v>
      </c>
      <c r="B31">
        <v>4</v>
      </c>
      <c r="C31">
        <v>11</v>
      </c>
      <c r="D31">
        <f t="shared" ref="D31:D37" si="0">$C$40+B31*$C$41</f>
        <v>13.166666666666679</v>
      </c>
      <c r="E31" s="3">
        <f t="shared" ref="E31:E37" si="1">(D31-C31)^2</f>
        <v>4.6944444444444962</v>
      </c>
      <c r="F31">
        <v>280.5625</v>
      </c>
      <c r="G31">
        <v>212.67361111111077</v>
      </c>
      <c r="N31">
        <v>11</v>
      </c>
      <c r="O31">
        <v>3</v>
      </c>
      <c r="P31">
        <v>5</v>
      </c>
    </row>
    <row r="32" spans="1:16" x14ac:dyDescent="0.25">
      <c r="A32">
        <v>1</v>
      </c>
      <c r="B32">
        <v>7</v>
      </c>
      <c r="C32">
        <v>20.5</v>
      </c>
      <c r="D32">
        <f t="shared" si="0"/>
        <v>19.000000000000014</v>
      </c>
      <c r="E32" s="3">
        <f t="shared" si="1"/>
        <v>2.2499999999999574</v>
      </c>
      <c r="F32">
        <v>52.5625</v>
      </c>
      <c r="G32">
        <v>76.562499999999744</v>
      </c>
      <c r="J32" cm="1">
        <f t="array" ref="J32:K33">MINVERSE(MMULT(TRANSPOSE(O30:P37),O30:P37))</f>
        <v>0.20158494304110938</v>
      </c>
      <c r="K32">
        <v>-0.16691431401683995</v>
      </c>
      <c r="N32">
        <v>20.5</v>
      </c>
      <c r="O32">
        <v>4</v>
      </c>
      <c r="P32">
        <v>6</v>
      </c>
    </row>
    <row r="33" spans="1:16" x14ac:dyDescent="0.25">
      <c r="A33">
        <v>1</v>
      </c>
      <c r="B33">
        <v>10</v>
      </c>
      <c r="C33">
        <v>23</v>
      </c>
      <c r="D33">
        <f t="shared" si="0"/>
        <v>24.833333333333346</v>
      </c>
      <c r="E33" s="3">
        <f t="shared" si="1"/>
        <v>3.3611111111111587</v>
      </c>
      <c r="F33">
        <v>22.5625</v>
      </c>
      <c r="G33">
        <v>8.5069444444443683</v>
      </c>
      <c r="J33">
        <v>-0.16691431401683995</v>
      </c>
      <c r="K33">
        <v>0.14066369489846453</v>
      </c>
      <c r="N33">
        <v>23</v>
      </c>
      <c r="O33">
        <v>5</v>
      </c>
      <c r="P33">
        <v>6</v>
      </c>
    </row>
    <row r="34" spans="1:16" x14ac:dyDescent="0.25">
      <c r="A34">
        <v>1</v>
      </c>
      <c r="B34">
        <v>13</v>
      </c>
      <c r="C34">
        <v>32.5</v>
      </c>
      <c r="D34">
        <f t="shared" si="0"/>
        <v>30.666666666666679</v>
      </c>
      <c r="E34" s="3">
        <f t="shared" si="1"/>
        <v>3.3611111111110676</v>
      </c>
      <c r="F34">
        <v>22.5625</v>
      </c>
      <c r="G34">
        <v>8.5069444444445139</v>
      </c>
      <c r="N34">
        <v>32.5</v>
      </c>
      <c r="O34">
        <v>6</v>
      </c>
      <c r="P34">
        <v>7</v>
      </c>
    </row>
    <row r="35" spans="1:16" x14ac:dyDescent="0.25">
      <c r="A35">
        <v>1</v>
      </c>
      <c r="B35">
        <v>16</v>
      </c>
      <c r="C35">
        <v>35</v>
      </c>
      <c r="D35">
        <f t="shared" si="0"/>
        <v>36.500000000000014</v>
      </c>
      <c r="E35" s="3">
        <f t="shared" si="1"/>
        <v>2.2500000000000426</v>
      </c>
      <c r="F35">
        <v>52.5625</v>
      </c>
      <c r="G35">
        <v>76.562500000000256</v>
      </c>
      <c r="N35">
        <v>35</v>
      </c>
      <c r="O35">
        <v>7</v>
      </c>
      <c r="P35">
        <v>8</v>
      </c>
    </row>
    <row r="36" spans="1:16" x14ac:dyDescent="0.25">
      <c r="A36">
        <v>4</v>
      </c>
      <c r="B36">
        <v>19</v>
      </c>
      <c r="C36">
        <v>44.5</v>
      </c>
      <c r="D36">
        <f t="shared" si="0"/>
        <v>42.33333333333335</v>
      </c>
      <c r="E36" s="3">
        <f t="shared" si="1"/>
        <v>4.6944444444443727</v>
      </c>
      <c r="F36">
        <v>280.5625</v>
      </c>
      <c r="G36">
        <v>212.6736111111116</v>
      </c>
      <c r="N36">
        <v>44.5</v>
      </c>
      <c r="O36">
        <v>8</v>
      </c>
      <c r="P36">
        <v>9</v>
      </c>
    </row>
    <row r="37" spans="1:16" x14ac:dyDescent="0.25">
      <c r="A37">
        <v>2</v>
      </c>
      <c r="B37">
        <v>22</v>
      </c>
      <c r="C37">
        <v>47</v>
      </c>
      <c r="D37">
        <f t="shared" si="0"/>
        <v>48.166666666666686</v>
      </c>
      <c r="E37" s="3">
        <f t="shared" si="1"/>
        <v>1.3611111111111553</v>
      </c>
      <c r="F37">
        <v>370.5625</v>
      </c>
      <c r="G37">
        <v>416.84027777777857</v>
      </c>
      <c r="N37">
        <v>47</v>
      </c>
      <c r="O37">
        <v>9</v>
      </c>
      <c r="P37">
        <v>10</v>
      </c>
    </row>
    <row r="38" spans="1:16" x14ac:dyDescent="0.25">
      <c r="E38" s="3">
        <f>SUM(E30:E37)</f>
        <v>23.333333333333336</v>
      </c>
      <c r="F38">
        <f>SUM(_xlfn.ANCHORARRAY(F30))</f>
        <v>1452.5</v>
      </c>
      <c r="G38">
        <f>SUM(_xlfn.ANCHORARRAY(G30))</f>
        <v>1429.166666666667</v>
      </c>
      <c r="H38" s="3">
        <f>G38+E38-F38</f>
        <v>0</v>
      </c>
    </row>
    <row r="39" spans="1:16" x14ac:dyDescent="0.25">
      <c r="B39" t="s">
        <v>113</v>
      </c>
      <c r="E39" s="3">
        <f>E38/(8-1)</f>
        <v>3.3333333333333335</v>
      </c>
      <c r="N39" t="s">
        <v>87</v>
      </c>
      <c r="O39" cm="1">
        <f t="array" ref="O39:O41">BRISTO.OLS(_xlfn.ANCHORARRAY(N30),O30:P37)</f>
        <v>-6.5333333333337578</v>
      </c>
    </row>
    <row r="40" spans="1:16" x14ac:dyDescent="0.25">
      <c r="B40" t="s">
        <v>87</v>
      </c>
      <c r="C40" cm="1">
        <f t="array" ref="C40:C41">BRISTO.OLS(_xlfn.ANCHORARRAY(C30),_xlfn.ANCHORARRAY(B30))</f>
        <v>5.3888888888888999</v>
      </c>
      <c r="E40" s="11">
        <f>G38/F38</f>
        <v>0.98393574297188779</v>
      </c>
      <c r="N40" t="s">
        <v>88</v>
      </c>
      <c r="O40">
        <v>5.0666666666675155</v>
      </c>
    </row>
    <row r="41" spans="1:16" x14ac:dyDescent="0.25">
      <c r="B41" t="s">
        <v>88</v>
      </c>
      <c r="C41">
        <v>1.9444444444444446</v>
      </c>
      <c r="N41" t="s">
        <v>91</v>
      </c>
      <c r="O41">
        <v>0.93333333333339397</v>
      </c>
    </row>
    <row r="43" spans="1:16" x14ac:dyDescent="0.25">
      <c r="B43" cm="1">
        <f t="array" ref="B43:B64">_xlfn.SEQUENCE(22)</f>
        <v>1</v>
      </c>
      <c r="C43" cm="1">
        <f t="array" ref="C43:C64">_xlfn.ANCHORARRAY(B43)*C41+C40</f>
        <v>7.3333333333333446</v>
      </c>
    </row>
    <row r="44" spans="1:16" x14ac:dyDescent="0.25">
      <c r="B44">
        <v>2</v>
      </c>
      <c r="C44">
        <v>9.2777777777777892</v>
      </c>
      <c r="N44">
        <f>O39+O40*O44+O41*P44</f>
        <v>54.400000000008731</v>
      </c>
      <c r="O44">
        <v>10</v>
      </c>
      <c r="P44">
        <v>11</v>
      </c>
    </row>
    <row r="45" spans="1:16" x14ac:dyDescent="0.25">
      <c r="B45">
        <v>3</v>
      </c>
      <c r="C45">
        <v>11.222222222222234</v>
      </c>
    </row>
    <row r="46" spans="1:16" x14ac:dyDescent="0.25">
      <c r="B46">
        <v>4</v>
      </c>
      <c r="C46">
        <v>13.166666666666679</v>
      </c>
    </row>
    <row r="47" spans="1:16" x14ac:dyDescent="0.25">
      <c r="B47">
        <v>5</v>
      </c>
      <c r="C47">
        <v>15.111111111111123</v>
      </c>
    </row>
    <row r="48" spans="1:16" x14ac:dyDescent="0.25">
      <c r="B48">
        <v>6</v>
      </c>
      <c r="C48">
        <v>17.055555555555568</v>
      </c>
    </row>
    <row r="49" spans="2:10" x14ac:dyDescent="0.25">
      <c r="B49">
        <v>7</v>
      </c>
      <c r="C49">
        <v>19.000000000000014</v>
      </c>
    </row>
    <row r="50" spans="2:10" x14ac:dyDescent="0.25">
      <c r="B50">
        <v>8</v>
      </c>
      <c r="C50">
        <v>20.944444444444457</v>
      </c>
    </row>
    <row r="51" spans="2:10" x14ac:dyDescent="0.25">
      <c r="B51">
        <v>9</v>
      </c>
      <c r="C51">
        <v>22.8888888888889</v>
      </c>
    </row>
    <row r="52" spans="2:10" x14ac:dyDescent="0.25">
      <c r="B52">
        <v>10</v>
      </c>
      <c r="C52">
        <v>24.833333333333346</v>
      </c>
    </row>
    <row r="53" spans="2:10" x14ac:dyDescent="0.25">
      <c r="B53">
        <v>11</v>
      </c>
      <c r="C53">
        <v>26.777777777777793</v>
      </c>
    </row>
    <row r="54" spans="2:10" x14ac:dyDescent="0.25">
      <c r="B54">
        <v>12</v>
      </c>
      <c r="C54">
        <v>28.722222222222236</v>
      </c>
    </row>
    <row r="55" spans="2:10" x14ac:dyDescent="0.25">
      <c r="B55">
        <v>13</v>
      </c>
      <c r="C55">
        <v>30.666666666666679</v>
      </c>
    </row>
    <row r="56" spans="2:10" x14ac:dyDescent="0.25">
      <c r="B56">
        <v>14</v>
      </c>
      <c r="C56">
        <v>32.611111111111128</v>
      </c>
    </row>
    <row r="57" spans="2:10" x14ac:dyDescent="0.25">
      <c r="B57">
        <v>15</v>
      </c>
      <c r="C57">
        <v>34.555555555555571</v>
      </c>
      <c r="F57" s="14" t="s">
        <v>97</v>
      </c>
      <c r="G57" s="14" t="s">
        <v>98</v>
      </c>
      <c r="H57" s="14" t="s">
        <v>99</v>
      </c>
      <c r="I57" s="14" t="s">
        <v>96</v>
      </c>
      <c r="J57" s="14" t="s">
        <v>100</v>
      </c>
    </row>
    <row r="58" spans="2:10" x14ac:dyDescent="0.25">
      <c r="B58">
        <v>16</v>
      </c>
      <c r="C58">
        <v>36.500000000000014</v>
      </c>
      <c r="E58" s="14" t="s">
        <v>101</v>
      </c>
      <c r="F58" cm="1">
        <f t="array" ref="F58:J58">BRISTO.OLS_VARIANCE(_xlfn.ANCHORARRAY(C30),_xlfn.ANCHORARRAY(B30))</f>
        <v>23.333333333333336</v>
      </c>
      <c r="G58">
        <v>1429.166666666667</v>
      </c>
      <c r="H58">
        <v>1452.5</v>
      </c>
      <c r="I58">
        <v>3.3333333333333335</v>
      </c>
      <c r="J58">
        <v>0.98393574297188779</v>
      </c>
    </row>
    <row r="59" spans="2:10" x14ac:dyDescent="0.25">
      <c r="B59">
        <v>17</v>
      </c>
      <c r="C59">
        <v>38.444444444444457</v>
      </c>
      <c r="E59" s="14" t="s">
        <v>102</v>
      </c>
      <c r="F59" cm="1">
        <f t="array" ref="F59">BRISTO.OLS_COVMATRIX(_xlfn.ANCHORARRAY(B30))</f>
        <v>6.9637883008356546E-4</v>
      </c>
    </row>
    <row r="60" spans="2:10" x14ac:dyDescent="0.25">
      <c r="B60">
        <v>18</v>
      </c>
      <c r="C60">
        <v>40.3888888888889</v>
      </c>
      <c r="E60" s="14" t="s">
        <v>103</v>
      </c>
      <c r="F60">
        <f>SQRT(F59)</f>
        <v>2.6388990698462976E-2</v>
      </c>
      <c r="G60">
        <f>C41/F60</f>
        <v>73.683926250263852</v>
      </c>
    </row>
    <row r="61" spans="2:10" x14ac:dyDescent="0.25">
      <c r="B61">
        <v>19</v>
      </c>
      <c r="C61">
        <v>42.33333333333335</v>
      </c>
    </row>
    <row r="62" spans="2:10" x14ac:dyDescent="0.25">
      <c r="B62">
        <v>20</v>
      </c>
      <c r="C62">
        <v>44.277777777777793</v>
      </c>
    </row>
    <row r="63" spans="2:10" x14ac:dyDescent="0.25">
      <c r="B63">
        <v>21</v>
      </c>
      <c r="C63">
        <v>46.222222222222236</v>
      </c>
      <c r="F63" s="14" t="s">
        <v>97</v>
      </c>
      <c r="G63" s="14" t="s">
        <v>98</v>
      </c>
      <c r="H63" s="14" t="s">
        <v>99</v>
      </c>
      <c r="I63" s="14" t="s">
        <v>96</v>
      </c>
      <c r="J63" s="14" t="s">
        <v>100</v>
      </c>
    </row>
    <row r="64" spans="2:10" x14ac:dyDescent="0.25">
      <c r="B64">
        <v>22</v>
      </c>
      <c r="C64">
        <v>48.166666666666686</v>
      </c>
      <c r="E64" s="14" t="s">
        <v>101</v>
      </c>
      <c r="F64" cm="1">
        <f t="array" ref="F64:J64">BRISTO.OLS_VARIANCE(O30:P37,_xlfn.ANCHORARRAY(N30))</f>
        <v>1.5269363166953536</v>
      </c>
      <c r="G64">
        <v>76.910563683304488</v>
      </c>
      <c r="H64">
        <v>78.4375</v>
      </c>
      <c r="I64">
        <v>0.21813375952790764</v>
      </c>
      <c r="J64">
        <v>0.98053308281503726</v>
      </c>
    </row>
    <row r="65" spans="2:7" x14ac:dyDescent="0.25">
      <c r="E65" s="14" t="s">
        <v>102</v>
      </c>
      <c r="F65" cm="1">
        <f t="array" ref="F65:G66">BRISTO.OLS_COVMATRIX(O30:P37)</f>
        <v>0.20158494304110938</v>
      </c>
      <c r="G65">
        <v>-0.16691431401683995</v>
      </c>
    </row>
    <row r="66" spans="2:7" x14ac:dyDescent="0.25">
      <c r="F66">
        <v>-0.16691431401683995</v>
      </c>
      <c r="G66">
        <v>0.14066369489846453</v>
      </c>
    </row>
    <row r="67" spans="2:7" x14ac:dyDescent="0.25">
      <c r="F67" t="s">
        <v>104</v>
      </c>
      <c r="G67" t="s">
        <v>105</v>
      </c>
    </row>
    <row r="68" spans="2:7" x14ac:dyDescent="0.25">
      <c r="E68" s="14" t="s">
        <v>106</v>
      </c>
      <c r="F68">
        <f>SQRT(INDEX(_xlfn.ANCHORARRAY(F65),1,1))</f>
        <v>0.44898211884340045</v>
      </c>
      <c r="G68">
        <f>O40/F68</f>
        <v>11.284784970322411</v>
      </c>
    </row>
    <row r="69" spans="2:7" x14ac:dyDescent="0.25">
      <c r="E69" s="14" t="s">
        <v>107</v>
      </c>
      <c r="F69">
        <f>SQRT(INDEX(_xlfn.ANCHORARRAY(F65),2,2))</f>
        <v>0.3750515896492968</v>
      </c>
      <c r="G69">
        <f>O41/F69</f>
        <v>2.4885465335745813</v>
      </c>
    </row>
    <row r="70" spans="2:7" x14ac:dyDescent="0.25">
      <c r="B70" t="s">
        <v>112</v>
      </c>
    </row>
    <row r="71" spans="2:7" x14ac:dyDescent="0.25">
      <c r="B71" t="s">
        <v>87</v>
      </c>
      <c r="C71" cm="1">
        <f t="array" ref="C71:C72">BRISTO.OLS(_xlfn.ANCHORARRAY(C30),_xlfn.ANCHORARRAY(B30),A30:A37)</f>
        <v>5.28388520971302</v>
      </c>
    </row>
    <row r="72" spans="2:7" x14ac:dyDescent="0.25">
      <c r="B72" t="s">
        <v>88</v>
      </c>
      <c r="C72">
        <v>1.9830022075055194</v>
      </c>
    </row>
    <row r="74" spans="2:7" x14ac:dyDescent="0.25">
      <c r="B74" cm="1">
        <f t="array" ref="B74:B95">_xlfn.SEQUENCE(22)</f>
        <v>1</v>
      </c>
      <c r="C74" cm="1">
        <f t="array" ref="C74:C95">_xlfn.ANCHORARRAY(B74)*C72+C71</f>
        <v>7.2668874172185394</v>
      </c>
    </row>
    <row r="75" spans="2:7" x14ac:dyDescent="0.25">
      <c r="B75">
        <v>2</v>
      </c>
      <c r="C75">
        <v>9.2498896247240587</v>
      </c>
    </row>
    <row r="76" spans="2:7" x14ac:dyDescent="0.25">
      <c r="B76">
        <v>3</v>
      </c>
      <c r="C76">
        <v>11.232891832229578</v>
      </c>
    </row>
    <row r="77" spans="2:7" x14ac:dyDescent="0.25">
      <c r="B77">
        <v>4</v>
      </c>
      <c r="C77">
        <v>13.215894039735097</v>
      </c>
    </row>
    <row r="78" spans="2:7" x14ac:dyDescent="0.25">
      <c r="B78">
        <v>5</v>
      </c>
      <c r="C78">
        <v>15.198896247240617</v>
      </c>
    </row>
    <row r="79" spans="2:7" x14ac:dyDescent="0.25">
      <c r="B79">
        <v>6</v>
      </c>
      <c r="C79">
        <v>17.181898454746136</v>
      </c>
    </row>
    <row r="80" spans="2:7" x14ac:dyDescent="0.25">
      <c r="B80">
        <v>7</v>
      </c>
      <c r="C80">
        <v>19.164900662251654</v>
      </c>
    </row>
    <row r="81" spans="2:3" x14ac:dyDescent="0.25">
      <c r="B81">
        <v>8</v>
      </c>
      <c r="C81">
        <v>21.147902869757175</v>
      </c>
    </row>
    <row r="82" spans="2:3" x14ac:dyDescent="0.25">
      <c r="B82">
        <v>9</v>
      </c>
      <c r="C82">
        <v>23.130905077262696</v>
      </c>
    </row>
    <row r="83" spans="2:3" x14ac:dyDescent="0.25">
      <c r="B83">
        <v>10</v>
      </c>
      <c r="C83">
        <v>25.113907284768214</v>
      </c>
    </row>
    <row r="84" spans="2:3" x14ac:dyDescent="0.25">
      <c r="B84">
        <v>11</v>
      </c>
      <c r="C84">
        <v>27.096909492273731</v>
      </c>
    </row>
    <row r="85" spans="2:3" x14ac:dyDescent="0.25">
      <c r="B85">
        <v>12</v>
      </c>
      <c r="C85">
        <v>29.079911699779252</v>
      </c>
    </row>
    <row r="86" spans="2:3" x14ac:dyDescent="0.25">
      <c r="B86">
        <v>13</v>
      </c>
      <c r="C86">
        <v>31.062913907284774</v>
      </c>
    </row>
    <row r="87" spans="2:3" x14ac:dyDescent="0.25">
      <c r="B87">
        <v>14</v>
      </c>
      <c r="C87">
        <v>33.045916114790288</v>
      </c>
    </row>
    <row r="88" spans="2:3" x14ac:dyDescent="0.25">
      <c r="B88">
        <v>15</v>
      </c>
      <c r="C88">
        <v>35.028918322295809</v>
      </c>
    </row>
    <row r="89" spans="2:3" x14ac:dyDescent="0.25">
      <c r="B89">
        <v>16</v>
      </c>
      <c r="C89">
        <v>37.01192052980133</v>
      </c>
    </row>
    <row r="90" spans="2:3" x14ac:dyDescent="0.25">
      <c r="B90">
        <v>17</v>
      </c>
      <c r="C90">
        <v>38.994922737306851</v>
      </c>
    </row>
    <row r="91" spans="2:3" x14ac:dyDescent="0.25">
      <c r="B91">
        <v>18</v>
      </c>
      <c r="C91">
        <v>40.977924944812372</v>
      </c>
    </row>
    <row r="92" spans="2:3" x14ac:dyDescent="0.25">
      <c r="B92">
        <v>19</v>
      </c>
      <c r="C92">
        <v>42.960927152317886</v>
      </c>
    </row>
    <row r="93" spans="2:3" x14ac:dyDescent="0.25">
      <c r="B93">
        <v>20</v>
      </c>
      <c r="C93">
        <v>44.943929359823407</v>
      </c>
    </row>
    <row r="94" spans="2:3" x14ac:dyDescent="0.25">
      <c r="B94">
        <v>21</v>
      </c>
      <c r="C94">
        <v>46.926931567328928</v>
      </c>
    </row>
    <row r="95" spans="2:3" x14ac:dyDescent="0.25">
      <c r="B95">
        <v>22</v>
      </c>
      <c r="C95">
        <v>48.909933774834442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19" t="s">
        <v>33</v>
      </c>
      <c r="AD8" s="19"/>
      <c r="AE8" s="19"/>
      <c r="AF8" s="19"/>
      <c r="AG8" s="19" t="s">
        <v>34</v>
      </c>
      <c r="AH8" s="19"/>
      <c r="AI8" s="19"/>
      <c r="AJ8" s="19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2026-01-25T12:17:01Z</dcterms:modified>
</cp:coreProperties>
</file>