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1C9D8968-2DD7-4BB2-999D-58B705026053}" xr6:coauthVersionLast="47" xr6:coauthVersionMax="47" xr10:uidLastSave="{00000000-0000-0000-0000-000000000000}"/>
  <bookViews>
    <workbookView xWindow="645" yWindow="735" windowWidth="25770" windowHeight="14700" activeTab="1" xr2:uid="{DE452286-8C54-42EA-9FBD-687FCC5FC56A}"/>
  </bookViews>
  <sheets>
    <sheet name="bristo.lambdas" sheetId="1" r:id="rId1"/>
    <sheet name="ch1" sheetId="8" r:id="rId2"/>
    <sheet name="tables" sheetId="7" r:id="rId3"/>
    <sheet name="options" sheetId="3" r:id="rId4"/>
    <sheet name="box" sheetId="5" r:id="rId5"/>
  </sheets>
  <definedNames>
    <definedName name="_xleta.DELTA" hidden="1" xlm="1">#NAME?</definedName>
    <definedName name="_xleta.GAMMA" hidden="1" xlm="1">#NAME?</definedName>
    <definedName name="_xleta.SECOND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weight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ll_data" hidden="1" xlm="1">#NAME?</definedName>
    <definedName name="_xlpm.alpha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ars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bug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x" hidden="1" xlm="1">#NAME?</definedName>
    <definedName name="_xlpm.dy" hidden="1" xlm="1">#NAME?</definedName>
    <definedName name="_xlpm.end" hidden="1" xlm="1">#NAME?</definedName>
    <definedName name="_xlpm.eps" hidden="1" xlm="1">#NAME?</definedName>
    <definedName name="_xlpm.epsilon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K" hidden="1" xlm="1">#NAME?</definedName>
    <definedName name="_xlpm.known_x" hidden="1" xlm="1">#NAME?</definedName>
    <definedName name="_xlpm.known_y" hidden="1" xlm="1">#NAME?</definedName>
    <definedName name="_xlpm.kurtosis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trid" hidden="1" xlm="1">#NAME?</definedName>
    <definedName name="_xlpm.NM_STEP" hidden="1" xlm="1">#NAME?</definedName>
    <definedName name="_xlpm.offsets" hidden="1" xlm="1">#NAME?</definedName>
    <definedName name="_xlpm.ones" hidden="1" xlm="1">#NAME?</definedName>
    <definedName name="_xlpm.output" hidden="1" xlm="1">#NAME?</definedName>
    <definedName name="_xlpm.p" hidden="1" xlm="1">#NAME?</definedName>
    <definedName name="_xlpm.p_val" hidden="1" xlm="1">#NAME?</definedName>
    <definedName name="_xlpm.price" hidden="1" xlm="1">#NAME?</definedName>
    <definedName name="_xlpm.r_2" hidden="1" xlm="1">#NAME?</definedName>
    <definedName name="_xlpm.r_adj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eb" hidden="1" xlm="1">#NAME?</definedName>
    <definedName name="_xlpm.sigma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ot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art" hidden="1" xlm="1">#NAME?</definedName>
    <definedName name="_xlpm.step" hidden="1" xlm="1">#NAME?</definedName>
    <definedName name="_xlpm.strike" hidden="1" xlm="1">#NAME?</definedName>
    <definedName name="_xlpm.sweep" hidden="1" xlm="1">#NAME?</definedName>
    <definedName name="_xlpm.t_critico" hidden="1" xlm="1">#NAME?</definedName>
    <definedName name="_xlpm.t_val" hidden="1" xlm="1">#NAME?</definedName>
    <definedName name="_xlpm.tau" hidden="1" xlm="1">#NAME?</definedName>
    <definedName name="_xlpm.tol" hidden="1" xlm="1">#NAME?</definedName>
    <definedName name="_xlpm.tolerance" hidden="1" xlm="1">#NAME?</definedName>
    <definedName name="_xlpm.type" hidden="1" xlm="1">#NAME?</definedName>
    <definedName name="_xlpm.v" hidden="1" xlm="1">#NAME?</definedName>
    <definedName name="_xlpm.variance" hidden="1" xlm="1">#NAME?</definedName>
    <definedName name="_xlpm.vec_d" hidden="1" xlm="1">#NAME?</definedName>
    <definedName name="_xlpm.w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_BDAYS">_xlfn.LAMBDA(_xlpm.x,_xlpm.y,
  _xlpm.x*_xlpm.y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6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(6 * _xlpm.h),
        _xlpm.coeff_b, _xlpm.M_i / 2,
        _xlpm.coeff_c, (_xlpm.y_i_1 - _xlpm.y_i) / _xlpm.h - (_xlpm.h * (_xlpm.M_i_1 + 2 * _xlpm.M_i) / 6),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TRI_DIAG_THOMAS">_xlfn.LAMBDA(_xlpm.m_tridiag,_xlpm.d,
    _xlfn.LET(
      _xlpm.rows,ROWS(_xlpm.m_tridiag),
      _xlpm.v,_xlfn.SEQUENCE(_xlpm.rows),
     _xlpm.a,_xlfn.MAP(_xlpm.v,_xlfn.LAMBDA(_xlpm.x,IF(_xlpm.x=1,0,INDEX(_xlpm.m_tridiag,_xlpm.x,_xlpm.x-1)))),
     _xlpm.b,_xlfn.MAP(_xlpm.v,_xlfn.LAMBDA(_xlpm.x,INDEX(_xlpm.m_tridiag,_xlpm.x,_xlpm.x))),
     _xlpm.c,_xlfn.MAP(_xlpm.v,_xlfn.LAMBDA(_xlpm.x,IF(_xlpm.x=_xlpm.rows,0,INDEX(_xlpm.m_tridiag,_xlpm.x,_xlpm.x+1)))),
     _xlpm.cp_1,INDEX(_xlpm.c,1)/INDEX(_xlpm.b,1),
     _xlpm.dp_1,INDEX(_xlpm.d,1)/INDEX(_xlpm.b,1),
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WLS">_xlfn.LAMBDA(_xlpm.x,_xlpm.y,
  _xlpm.x*_xlpm.y
)</definedName>
    <definedName name="ExternalData_1" localSheetId="2" hidden="1">tables!$A$1:$A$868</definedName>
    <definedName name="ExternalData_2" localSheetId="2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2" i="8" l="1" a="1"/>
  <c r="C18" i="1" a="1"/>
  <c r="C18" i="1"/>
  <c r="L113" i="8" a="1"/>
  <c r="C17" i="1" a="1"/>
  <c r="C17" i="1" s="1"/>
  <c r="I113" i="8" a="1"/>
  <c r="I113" i="8" s="1"/>
  <c r="Y29" i="5"/>
  <c r="R29" i="5"/>
  <c r="L29" i="5" a="1"/>
  <c r="L29" i="5" s="1"/>
  <c r="I29" i="5" a="1"/>
  <c r="I29" i="5" s="1"/>
  <c r="J29" i="5" s="1"/>
  <c r="N29" i="5" s="1"/>
  <c r="F29" i="5"/>
  <c r="Y28" i="5"/>
  <c r="R28" i="5"/>
  <c r="L28" i="5" a="1"/>
  <c r="L28" i="5" s="1"/>
  <c r="I28" i="5" a="1"/>
  <c r="I28" i="5" s="1"/>
  <c r="J28" i="5" s="1"/>
  <c r="N28" i="5" s="1"/>
  <c r="F28" i="5"/>
  <c r="Y27" i="5"/>
  <c r="R27" i="5"/>
  <c r="L27" i="5" a="1"/>
  <c r="L27" i="5" s="1"/>
  <c r="I27" i="5" a="1"/>
  <c r="I27" i="5" s="1"/>
  <c r="J27" i="5" s="1"/>
  <c r="N27" i="5" s="1"/>
  <c r="F27" i="5"/>
  <c r="Y26" i="5"/>
  <c r="R26" i="5"/>
  <c r="L26" i="5" a="1"/>
  <c r="L26" i="5" s="1"/>
  <c r="I26" i="5" a="1"/>
  <c r="I26" i="5" s="1"/>
  <c r="J26" i="5" s="1"/>
  <c r="N26" i="5" s="1"/>
  <c r="F26" i="5"/>
  <c r="E23" i="5"/>
  <c r="E22" i="5"/>
  <c r="E20" i="5"/>
  <c r="E19" i="5"/>
  <c r="E17" i="5"/>
  <c r="E16" i="5"/>
  <c r="D16" i="5"/>
  <c r="E15" i="5"/>
  <c r="D15" i="5"/>
  <c r="E14" i="5"/>
  <c r="D14" i="5"/>
  <c r="E13" i="5"/>
  <c r="D13" i="5"/>
  <c r="K12" i="5"/>
  <c r="K11" i="5"/>
  <c r="Y9" i="5"/>
  <c r="R9" i="5"/>
  <c r="L9" i="5" a="1"/>
  <c r="L9" i="5" s="1"/>
  <c r="M9" i="5" s="1"/>
  <c r="I9" i="5" a="1"/>
  <c r="I9" i="5" s="1"/>
  <c r="J9" i="5" s="1"/>
  <c r="F9" i="5"/>
  <c r="Y8" i="5"/>
  <c r="R8" i="5"/>
  <c r="L8" i="5" a="1"/>
  <c r="L8" i="5" s="1"/>
  <c r="M8" i="5" s="1"/>
  <c r="I8" i="5" a="1"/>
  <c r="I8" i="5" s="1"/>
  <c r="J8" i="5" s="1"/>
  <c r="F8" i="5"/>
  <c r="Y7" i="5"/>
  <c r="R7" i="5"/>
  <c r="L7" i="5" a="1"/>
  <c r="L7" i="5" s="1"/>
  <c r="M7" i="5" s="1"/>
  <c r="I7" i="5" a="1"/>
  <c r="I7" i="5" s="1"/>
  <c r="J7" i="5" s="1"/>
  <c r="F7" i="5"/>
  <c r="Y6" i="5"/>
  <c r="R6" i="5"/>
  <c r="L6" i="5" a="1"/>
  <c r="L6" i="5" s="1"/>
  <c r="M6" i="5" s="1"/>
  <c r="I6" i="5" a="1"/>
  <c r="I6" i="5" s="1"/>
  <c r="J6" i="5" s="1"/>
  <c r="F6" i="5"/>
  <c r="C37" i="3"/>
  <c r="C36" i="3"/>
  <c r="K35" i="3" a="1"/>
  <c r="K35" i="3" s="1"/>
  <c r="L35" i="3" s="1"/>
  <c r="M35" i="3" s="1"/>
  <c r="H35" i="3"/>
  <c r="G35" i="3"/>
  <c r="E35" i="3"/>
  <c r="C35" i="3"/>
  <c r="K34" i="3" a="1"/>
  <c r="K34" i="3" s="1"/>
  <c r="L34" i="3" s="1"/>
  <c r="M34" i="3" s="1"/>
  <c r="H34" i="3"/>
  <c r="G34" i="3"/>
  <c r="E34" i="3"/>
  <c r="C34" i="3"/>
  <c r="K33" i="3" a="1"/>
  <c r="K33" i="3" s="1"/>
  <c r="L33" i="3" s="1"/>
  <c r="M33" i="3" s="1"/>
  <c r="H33" i="3"/>
  <c r="G33" i="3"/>
  <c r="E33" i="3"/>
  <c r="C33" i="3"/>
  <c r="K32" i="3" a="1"/>
  <c r="K32" i="3" s="1"/>
  <c r="L32" i="3" s="1"/>
  <c r="M32" i="3" s="1"/>
  <c r="H32" i="3"/>
  <c r="G32" i="3"/>
  <c r="E32" i="3"/>
  <c r="C32" i="3"/>
  <c r="K31" i="3" a="1"/>
  <c r="K31" i="3" s="1"/>
  <c r="H31" i="3"/>
  <c r="G31" i="3"/>
  <c r="E31" i="3"/>
  <c r="C31" i="3"/>
  <c r="K30" i="3" a="1"/>
  <c r="K30" i="3" s="1"/>
  <c r="H30" i="3"/>
  <c r="G30" i="3"/>
  <c r="E30" i="3"/>
  <c r="C30" i="3"/>
  <c r="K29" i="3" a="1"/>
  <c r="K29" i="3" s="1"/>
  <c r="L29" i="3" s="1"/>
  <c r="M29" i="3" s="1"/>
  <c r="H29" i="3"/>
  <c r="G29" i="3"/>
  <c r="E29" i="3"/>
  <c r="C29" i="3"/>
  <c r="K28" i="3" a="1"/>
  <c r="K28" i="3" s="1"/>
  <c r="L28" i="3" s="1"/>
  <c r="M28" i="3" s="1"/>
  <c r="H28" i="3"/>
  <c r="G28" i="3"/>
  <c r="E28" i="3"/>
  <c r="C28" i="3"/>
  <c r="K27" i="3" a="1"/>
  <c r="K27" i="3" s="1"/>
  <c r="L27" i="3" s="1"/>
  <c r="M27" i="3" s="1"/>
  <c r="H27" i="3"/>
  <c r="G27" i="3"/>
  <c r="E27" i="3"/>
  <c r="C27" i="3"/>
  <c r="K26" i="3" a="1"/>
  <c r="K26" i="3" s="1"/>
  <c r="L26" i="3" s="1"/>
  <c r="M26" i="3" s="1"/>
  <c r="H26" i="3"/>
  <c r="G26" i="3"/>
  <c r="Y25" i="3"/>
  <c r="X25" i="3"/>
  <c r="Y24" i="3"/>
  <c r="X24" i="3"/>
  <c r="Y23" i="3"/>
  <c r="X23" i="3"/>
  <c r="Y22" i="3"/>
  <c r="X22" i="3"/>
  <c r="R20" i="3"/>
  <c r="L20" i="3" a="1"/>
  <c r="L20" i="3" s="1"/>
  <c r="M20" i="3" s="1"/>
  <c r="I20" i="3" a="1"/>
  <c r="I20" i="3" s="1"/>
  <c r="J20" i="3" s="1"/>
  <c r="R19" i="3"/>
  <c r="L19" i="3" a="1"/>
  <c r="L19" i="3" s="1"/>
  <c r="M19" i="3" s="1"/>
  <c r="I19" i="3" a="1"/>
  <c r="I19" i="3" s="1"/>
  <c r="J19" i="3" s="1"/>
  <c r="R18" i="3"/>
  <c r="L18" i="3" a="1"/>
  <c r="L18" i="3" s="1"/>
  <c r="M18" i="3" s="1"/>
  <c r="I18" i="3" a="1"/>
  <c r="I18" i="3" s="1"/>
  <c r="J18" i="3" s="1"/>
  <c r="R17" i="3"/>
  <c r="L17" i="3" a="1"/>
  <c r="L17" i="3" s="1"/>
  <c r="M17" i="3" s="1"/>
  <c r="I17" i="3" a="1"/>
  <c r="I17" i="3" s="1"/>
  <c r="J17" i="3" s="1"/>
  <c r="R13" i="3"/>
  <c r="L13" i="3" a="1"/>
  <c r="L13" i="3" s="1"/>
  <c r="M13" i="3" s="1"/>
  <c r="I13" i="3" a="1"/>
  <c r="I13" i="3" s="1"/>
  <c r="J13" i="3" s="1"/>
  <c r="N13" i="3" s="1"/>
  <c r="E13" i="3"/>
  <c r="R12" i="3"/>
  <c r="L12" i="3" a="1"/>
  <c r="L12" i="3" s="1"/>
  <c r="M12" i="3" s="1"/>
  <c r="I12" i="3" a="1"/>
  <c r="I12" i="3" s="1"/>
  <c r="J12" i="3" s="1"/>
  <c r="N12" i="3" s="1"/>
  <c r="E12" i="3"/>
  <c r="R11" i="3"/>
  <c r="L11" i="3" a="1"/>
  <c r="L11" i="3" s="1"/>
  <c r="M11" i="3" s="1"/>
  <c r="I11" i="3" a="1"/>
  <c r="I11" i="3" s="1"/>
  <c r="J11" i="3" s="1"/>
  <c r="N11" i="3" s="1"/>
  <c r="E11" i="3"/>
  <c r="R10" i="3"/>
  <c r="L10" i="3" a="1"/>
  <c r="L10" i="3" s="1"/>
  <c r="M10" i="3" s="1"/>
  <c r="I10" i="3" a="1"/>
  <c r="I10" i="3" s="1"/>
  <c r="J10" i="3" s="1"/>
  <c r="N10" i="3" s="1"/>
  <c r="E10" i="3"/>
  <c r="R6" i="3"/>
  <c r="L6" i="3" a="1"/>
  <c r="L6" i="3" s="1"/>
  <c r="M6" i="3" s="1"/>
  <c r="I6" i="3" a="1"/>
  <c r="I6" i="3" s="1"/>
  <c r="J6" i="3" s="1"/>
  <c r="N6" i="3" s="1"/>
  <c r="R5" i="3"/>
  <c r="L5" i="3" a="1"/>
  <c r="L5" i="3" s="1"/>
  <c r="M5" i="3" s="1"/>
  <c r="I5" i="3" a="1"/>
  <c r="I5" i="3" s="1"/>
  <c r="J5" i="3" s="1"/>
  <c r="N5" i="3" s="1"/>
  <c r="R4" i="3"/>
  <c r="L4" i="3" a="1"/>
  <c r="L4" i="3" s="1"/>
  <c r="M4" i="3" s="1"/>
  <c r="I4" i="3" a="1"/>
  <c r="I4" i="3" s="1"/>
  <c r="J4" i="3" s="1"/>
  <c r="N4" i="3" s="1"/>
  <c r="R3" i="3"/>
  <c r="L3" i="3" a="1"/>
  <c r="L3" i="3" s="1"/>
  <c r="M3" i="3" s="1"/>
  <c r="I3" i="3" a="1"/>
  <c r="I3" i="3" s="1"/>
  <c r="J3" i="3" s="1"/>
  <c r="N3" i="3" s="1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/>
  <c r="C16" i="1" a="1"/>
  <c r="C15" i="1"/>
  <c r="C15" i="1" a="1"/>
  <c r="C14" i="1" a="1"/>
  <c r="C14" i="1" s="1"/>
  <c r="C13" i="1" a="1"/>
  <c r="C13" i="1" s="1"/>
  <c r="C12" i="1" a="1"/>
  <c r="C12" i="1" s="1"/>
  <c r="C11" i="1" a="1"/>
  <c r="C11" i="1" s="1"/>
  <c r="C10" i="1"/>
  <c r="C10" i="1" a="1"/>
  <c r="C9" i="1" a="1"/>
  <c r="C9" i="1" s="1"/>
  <c r="C8" i="1"/>
  <c r="C7" i="1"/>
  <c r="C7" i="1" a="1"/>
  <c r="C6" i="1"/>
  <c r="C6" i="1" a="1"/>
  <c r="C5" i="1"/>
  <c r="C5" i="1" a="1"/>
  <c r="E122" i="8" l="1"/>
  <c r="F122" i="8" a="1"/>
  <c r="O10" i="3"/>
  <c r="P10" i="3" s="1"/>
  <c r="O13" i="3"/>
  <c r="P13" i="3" s="1"/>
  <c r="O4" i="3"/>
  <c r="P4" i="3" s="1"/>
  <c r="O11" i="3"/>
  <c r="P11" i="3" s="1"/>
  <c r="O5" i="3"/>
  <c r="P5" i="3" s="1"/>
  <c r="O6" i="3"/>
  <c r="P6" i="3" s="1"/>
  <c r="L113" i="8"/>
  <c r="B45" i="8"/>
  <c r="C49" i="8" s="1" a="1"/>
  <c r="C49" i="8" s="1"/>
  <c r="O12" i="3"/>
  <c r="P12" i="3" s="1"/>
  <c r="N9" i="5"/>
  <c r="N8" i="5"/>
  <c r="N7" i="5"/>
  <c r="N6" i="5"/>
  <c r="L31" i="3"/>
  <c r="L30" i="3"/>
  <c r="N20" i="3"/>
  <c r="N19" i="3"/>
  <c r="N18" i="3"/>
  <c r="N17" i="3"/>
  <c r="O3" i="3"/>
  <c r="P3" i="3" s="1"/>
  <c r="F122" i="8" l="1"/>
  <c r="Q10" i="3"/>
  <c r="T10" i="3"/>
  <c r="AA10" i="3" s="1"/>
  <c r="U10" i="3"/>
  <c r="Z10" i="3" s="1"/>
  <c r="V10" i="3"/>
  <c r="Q13" i="3"/>
  <c r="S13" i="3"/>
  <c r="T13" i="3"/>
  <c r="AA13" i="3" s="1"/>
  <c r="U13" i="3"/>
  <c r="Z13" i="3" s="1"/>
  <c r="V13" i="3"/>
  <c r="W13" i="3"/>
  <c r="Q12" i="3"/>
  <c r="S12" i="3"/>
  <c r="T12" i="3"/>
  <c r="AA12" i="3" s="1"/>
  <c r="O9" i="5"/>
  <c r="P9" i="5" s="1"/>
  <c r="Q9" i="5" s="1"/>
  <c r="S9" i="5" a="1"/>
  <c r="Q4" i="3"/>
  <c r="S4" i="3"/>
  <c r="T4" i="3"/>
  <c r="U4" i="3"/>
  <c r="V4" i="3"/>
  <c r="V23" i="3" s="1"/>
  <c r="W4" i="3"/>
  <c r="W23" i="3" s="1"/>
  <c r="O6" i="5"/>
  <c r="P6" i="5" s="1"/>
  <c r="Q6" i="5" s="1"/>
  <c r="S6" i="5" a="1"/>
  <c r="O18" i="3"/>
  <c r="P18" i="3" s="1"/>
  <c r="Q18" i="3" s="1"/>
  <c r="S18" i="3" a="1"/>
  <c r="Q11" i="3"/>
  <c r="W11" i="3" s="1"/>
  <c r="S11" i="3"/>
  <c r="T11" i="3"/>
  <c r="AA11" i="3" s="1"/>
  <c r="U11" i="3"/>
  <c r="Z11" i="3" s="1"/>
  <c r="V11" i="3"/>
  <c r="Q5" i="3"/>
  <c r="T5" i="3"/>
  <c r="AA5" i="3" s="1"/>
  <c r="U5" i="3"/>
  <c r="Z5" i="3" s="1"/>
  <c r="V5" i="3"/>
  <c r="Q6" i="3"/>
  <c r="W6" i="3" s="1"/>
  <c r="S6" i="3"/>
  <c r="T6" i="3"/>
  <c r="AA6" i="3" s="1"/>
  <c r="U6" i="3"/>
  <c r="Z6" i="3" s="1"/>
  <c r="V6" i="3"/>
  <c r="O8" i="5"/>
  <c r="P8" i="5" s="1"/>
  <c r="Q8" i="5" s="1"/>
  <c r="S8" i="5" a="1"/>
  <c r="O17" i="3"/>
  <c r="P17" i="3" s="1"/>
  <c r="Q17" i="3" s="1"/>
  <c r="S17" i="3" a="1"/>
  <c r="M30" i="3"/>
  <c r="AC12" i="3" a="1"/>
  <c r="AC12" i="3" s="1"/>
  <c r="U12" i="3"/>
  <c r="Z12" i="3" s="1"/>
  <c r="V12" i="3"/>
  <c r="W12" i="3"/>
  <c r="O7" i="5"/>
  <c r="P7" i="5" s="1"/>
  <c r="Q7" i="5" s="1"/>
  <c r="S7" i="5" a="1"/>
  <c r="M31" i="3"/>
  <c r="AG12" i="3" a="1"/>
  <c r="AG13" i="3" a="1"/>
  <c r="O19" i="3"/>
  <c r="P19" i="3" s="1"/>
  <c r="Q19" i="3" s="1"/>
  <c r="S19" i="3" a="1"/>
  <c r="V3" i="3"/>
  <c r="U3" i="3"/>
  <c r="T3" i="3"/>
  <c r="Q3" i="3"/>
  <c r="S9" i="5"/>
  <c r="Z9" i="5" s="1"/>
  <c r="AA9" i="5"/>
  <c r="AB9" i="5"/>
  <c r="O20" i="3"/>
  <c r="P20" i="3" s="1"/>
  <c r="Q20" i="3" s="1"/>
  <c r="S20" i="3" a="1"/>
  <c r="W10" i="3"/>
  <c r="S10" i="3"/>
  <c r="AA4" i="3"/>
  <c r="Z4" i="3"/>
  <c r="AC9" i="5" a="1"/>
  <c r="AC9" i="5" s="1"/>
  <c r="AD9" i="5" s="1"/>
  <c r="Z18" i="3" l="1"/>
  <c r="AA18" i="3"/>
  <c r="S18" i="3"/>
  <c r="T23" i="3"/>
  <c r="U23" i="3"/>
  <c r="Z23" i="3"/>
  <c r="AA23" i="3"/>
  <c r="AB6" i="5"/>
  <c r="AA6" i="5"/>
  <c r="S6" i="5"/>
  <c r="W5" i="3"/>
  <c r="S5" i="3"/>
  <c r="V22" i="3"/>
  <c r="S8" i="5"/>
  <c r="AA8" i="5"/>
  <c r="AB8" i="5"/>
  <c r="S17" i="3"/>
  <c r="AB17" i="3" s="1" a="1"/>
  <c r="AB17" i="3" s="1"/>
  <c r="AC17" i="3" s="1"/>
  <c r="AA17" i="3"/>
  <c r="Z17" i="3"/>
  <c r="AC11" i="3" a="1"/>
  <c r="AC11" i="3" s="1"/>
  <c r="AC10" i="3" a="1"/>
  <c r="AC10" i="3" s="1"/>
  <c r="AC13" i="3" a="1"/>
  <c r="AG10" i="3" a="1"/>
  <c r="AG11" i="3" a="1"/>
  <c r="S19" i="3"/>
  <c r="Z19" i="3"/>
  <c r="Z24" i="3" s="1"/>
  <c r="AA19" i="3"/>
  <c r="AA24" i="3" s="1"/>
  <c r="V24" i="3"/>
  <c r="AA7" i="5"/>
  <c r="AB7" i="5"/>
  <c r="S7" i="5"/>
  <c r="AG12" i="3"/>
  <c r="AK12" i="3"/>
  <c r="AM12" i="3" s="1"/>
  <c r="AN12" i="3" s="1"/>
  <c r="AO12" i="3" s="1"/>
  <c r="AG13" i="3"/>
  <c r="W24" i="3"/>
  <c r="T24" i="3"/>
  <c r="U24" i="3"/>
  <c r="U22" i="3"/>
  <c r="Z3" i="3"/>
  <c r="T22" i="3"/>
  <c r="AA3" i="3"/>
  <c r="W25" i="3"/>
  <c r="V25" i="3"/>
  <c r="S20" i="3"/>
  <c r="Z20" i="3"/>
  <c r="Z25" i="3" s="1"/>
  <c r="AA20" i="3"/>
  <c r="AA25" i="3" s="1"/>
  <c r="W3" i="3"/>
  <c r="W22" i="3" s="1"/>
  <c r="S3" i="3"/>
  <c r="T25" i="3"/>
  <c r="U25" i="3"/>
  <c r="AB18" i="3" l="1" a="1"/>
  <c r="AB18" i="3" s="1"/>
  <c r="AC18" i="3" s="1"/>
  <c r="S23" i="3"/>
  <c r="AC6" i="5" a="1"/>
  <c r="AC6" i="5" s="1"/>
  <c r="AD6" i="5" s="1"/>
  <c r="Z6" i="5"/>
  <c r="Z7" i="5"/>
  <c r="AC7" i="5" a="1"/>
  <c r="AC7" i="5" s="1"/>
  <c r="AD7" i="5" s="1"/>
  <c r="AC8" i="5" a="1"/>
  <c r="AC8" i="5" s="1"/>
  <c r="AD8" i="5" s="1"/>
  <c r="Z8" i="5"/>
  <c r="Z10" i="5" s="1"/>
  <c r="Z12" i="5" s="1"/>
  <c r="Z13" i="5" s="1"/>
  <c r="Z14" i="5" s="1"/>
  <c r="Z15" i="5" s="1"/>
  <c r="M23" i="5" s="1"/>
  <c r="S22" i="3"/>
  <c r="Z22" i="3"/>
  <c r="AA22" i="3"/>
  <c r="AC13" i="3"/>
  <c r="AK13" i="3"/>
  <c r="AM13" i="3" s="1"/>
  <c r="AN13" i="3" s="1"/>
  <c r="AO13" i="3" s="1"/>
  <c r="AK10" i="3"/>
  <c r="AM10" i="3" s="1"/>
  <c r="AN10" i="3" s="1"/>
  <c r="AO10" i="3" s="1"/>
  <c r="AG10" i="3"/>
  <c r="AK11" i="3"/>
  <c r="AM11" i="3" s="1"/>
  <c r="AN11" i="3" s="1"/>
  <c r="AO11" i="3" s="1"/>
  <c r="AG11" i="3"/>
  <c r="AB19" i="3" a="1"/>
  <c r="AB19" i="3" s="1"/>
  <c r="AC19" i="3" s="1"/>
  <c r="S24" i="3"/>
  <c r="S25" i="3"/>
  <c r="AB20" i="3" a="1"/>
  <c r="AB20" i="3" s="1"/>
  <c r="AC20" i="3" s="1"/>
  <c r="M26" i="5" l="1"/>
  <c r="M28" i="5"/>
  <c r="M27" i="5"/>
  <c r="M29" i="5"/>
  <c r="O27" i="5" l="1"/>
  <c r="P27" i="5" s="1"/>
  <c r="Q27" i="5" s="1"/>
  <c r="S27" i="5" a="1"/>
  <c r="O26" i="5"/>
  <c r="P26" i="5" s="1"/>
  <c r="Q26" i="5" s="1"/>
  <c r="S26" i="5" a="1"/>
  <c r="O28" i="5"/>
  <c r="P28" i="5" s="1"/>
  <c r="Q28" i="5" s="1"/>
  <c r="S28" i="5" a="1"/>
  <c r="O29" i="5"/>
  <c r="P29" i="5" s="1"/>
  <c r="Q29" i="5" s="1"/>
  <c r="S29" i="5" a="1"/>
  <c r="S27" i="5" l="1"/>
  <c r="AA27" i="5"/>
  <c r="AB27" i="5"/>
  <c r="S26" i="5"/>
  <c r="AA26" i="5"/>
  <c r="AB26" i="5"/>
  <c r="AA28" i="5"/>
  <c r="S28" i="5"/>
  <c r="Z28" i="5" s="1"/>
  <c r="AB28" i="5"/>
  <c r="S29" i="5"/>
  <c r="AA29" i="5"/>
  <c r="AB29" i="5"/>
  <c r="AC28" i="5" a="1"/>
  <c r="AC28" i="5" s="1"/>
  <c r="AD28" i="5" s="1"/>
  <c r="AC27" i="5" l="1" a="1"/>
  <c r="AC27" i="5" s="1"/>
  <c r="AD27" i="5" s="1"/>
  <c r="Z27" i="5"/>
  <c r="AC26" i="5" a="1"/>
  <c r="AC26" i="5" s="1"/>
  <c r="AD26" i="5" s="1"/>
  <c r="Z26" i="5"/>
  <c r="AC29" i="5" a="1"/>
  <c r="AC29" i="5" s="1"/>
  <c r="AD29" i="5" s="1"/>
  <c r="Z29" i="5"/>
  <c r="Z30" i="5" l="1"/>
  <c r="Z3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<sst xmlns="http://schemas.openxmlformats.org/spreadsheetml/2006/main" count="319" uniqueCount="130">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</sst>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  <numFmt numFmtId="174" formatCode="#,##0.0000000000000000"/>
    <numFmt numFmtId="176" formatCode="#,##0.00000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4" fontId="0" fillId="0" borderId="0" xfId="0" applyNumberFormat="1"/>
    <xf numFmtId="176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/>
    </xf>
    <xf numFmtId="4" fontId="0" fillId="0" borderId="10" xfId="0" applyNumberFormat="1" applyBorder="1"/>
    <xf numFmtId="4" fontId="0" fillId="0" borderId="6" xfId="0" applyNumberFormat="1" applyBorder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18" totalsRowShown="0">
  <autoFilter ref="B4:C18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C27" sqref="C27"/>
    </sheetView>
  </sheetViews>
  <sheetFormatPr defaultRowHeight="15" x14ac:dyDescent="0.25"/>
  <cols>
    <col min="2" max="2" width="24.7109375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84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91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92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93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116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3" x14ac:dyDescent="0.25">
      <c r="B17" t="s">
        <v>126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3" x14ac:dyDescent="0.25">
      <c r="B18" t="s">
        <v>127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39" spans="7:7" x14ac:dyDescent="0.25">
      <c r="G39" s="2"/>
    </row>
    <row r="40" spans="7:7" x14ac:dyDescent="0.25">
      <c r="G40" s="2"/>
    </row>
    <row r="41" spans="7:7" x14ac:dyDescent="0.25">
      <c r="G41" s="2"/>
    </row>
    <row r="42" spans="7:7" x14ac:dyDescent="0.25">
      <c r="G42" s="2"/>
    </row>
    <row r="43" spans="7:7" x14ac:dyDescent="0.25">
      <c r="G43" s="2"/>
    </row>
    <row r="44" spans="7:7" x14ac:dyDescent="0.25">
      <c r="G44" s="2"/>
    </row>
    <row r="45" spans="7:7" x14ac:dyDescent="0.25">
      <c r="G45" s="2"/>
    </row>
    <row r="46" spans="7:7" x14ac:dyDescent="0.25">
      <c r="G46" s="2"/>
    </row>
    <row r="47" spans="7:7" x14ac:dyDescent="0.25">
      <c r="G47" s="2"/>
    </row>
    <row r="48" spans="7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tabSelected="1" topLeftCell="A111" zoomScale="85" zoomScaleNormal="85" workbookViewId="0">
      <selection activeCell="O119" sqref="O119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4" t="s">
        <v>110</v>
      </c>
      <c r="E2" s="14"/>
    </row>
    <row r="4" spans="2:5" x14ac:dyDescent="0.25">
      <c r="B4" s="21" t="s">
        <v>67</v>
      </c>
      <c r="C4" s="24">
        <v>11</v>
      </c>
      <c r="D4" s="25">
        <v>-3</v>
      </c>
    </row>
    <row r="5" spans="2:5" x14ac:dyDescent="0.25">
      <c r="B5" s="22" t="s">
        <v>68</v>
      </c>
      <c r="C5">
        <v>3</v>
      </c>
      <c r="D5" s="26">
        <v>4</v>
      </c>
    </row>
    <row r="6" spans="2:5" x14ac:dyDescent="0.25">
      <c r="B6" s="22" t="s">
        <v>69</v>
      </c>
      <c r="C6" t="str">
        <f>COMPLEX(C4,C5)</f>
        <v>11+3i</v>
      </c>
      <c r="D6" s="26" t="str">
        <f>COMPLEX(D4,D5)</f>
        <v>-3+4i</v>
      </c>
    </row>
    <row r="7" spans="2:5" x14ac:dyDescent="0.25">
      <c r="B7" s="22" t="s">
        <v>76</v>
      </c>
      <c r="C7" t="str">
        <f>IMSUM(C6:D6)</f>
        <v>8+7i</v>
      </c>
      <c r="D7" s="26"/>
    </row>
    <row r="8" spans="2:5" x14ac:dyDescent="0.25">
      <c r="B8" s="22" t="s">
        <v>77</v>
      </c>
      <c r="C8" t="str">
        <f>IMSUB(C6,D6)</f>
        <v>14-i</v>
      </c>
      <c r="D8" s="26"/>
    </row>
    <row r="9" spans="2:5" x14ac:dyDescent="0.25">
      <c r="B9" s="22" t="s">
        <v>78</v>
      </c>
      <c r="C9" t="str">
        <f>IMPRODUCT(C6:D6)</f>
        <v>-45+35i</v>
      </c>
      <c r="D9" s="26"/>
    </row>
    <row r="10" spans="2:5" x14ac:dyDescent="0.25">
      <c r="B10" s="23" t="s">
        <v>79</v>
      </c>
      <c r="C10" s="27" t="str">
        <f>IMDIV(C6,D6)</f>
        <v>-0.84-2.12i</v>
      </c>
      <c r="D10" s="28"/>
    </row>
    <row r="12" spans="2:5" x14ac:dyDescent="0.25">
      <c r="B12" s="21" t="s">
        <v>67</v>
      </c>
      <c r="C12" s="29">
        <v>4</v>
      </c>
      <c r="D12" s="24"/>
      <c r="E12" s="25"/>
    </row>
    <row r="13" spans="2:5" x14ac:dyDescent="0.25">
      <c r="B13" s="22" t="s">
        <v>68</v>
      </c>
      <c r="C13" s="30">
        <v>5</v>
      </c>
      <c r="E13" s="26"/>
    </row>
    <row r="14" spans="2:5" x14ac:dyDescent="0.25">
      <c r="B14" s="22" t="s">
        <v>69</v>
      </c>
      <c r="C14" s="30" t="str">
        <f>COMPLEX(C12,C13)</f>
        <v>4+5i</v>
      </c>
      <c r="E14" s="26"/>
    </row>
    <row r="15" spans="2:5" x14ac:dyDescent="0.25">
      <c r="B15" s="22" t="s">
        <v>70</v>
      </c>
      <c r="C15" s="30" t="str">
        <f>IMCONJUGATE(C14)</f>
        <v>4-5i</v>
      </c>
      <c r="E15" s="26"/>
    </row>
    <row r="16" spans="2:5" x14ac:dyDescent="0.25">
      <c r="B16" s="22" t="s">
        <v>71</v>
      </c>
      <c r="C16" s="30" t="str">
        <f>IMSQRT(C14)</f>
        <v>2.2806933416653+1.09615788950152i</v>
      </c>
      <c r="E16" s="26"/>
    </row>
    <row r="17" spans="2:5" x14ac:dyDescent="0.25">
      <c r="B17" s="22" t="s">
        <v>72</v>
      </c>
      <c r="C17" s="30" t="str">
        <f>IMEXP(C14)</f>
        <v>15.4874305606508-52.355491418482i</v>
      </c>
      <c r="E17" s="26"/>
    </row>
    <row r="18" spans="2:5" x14ac:dyDescent="0.25">
      <c r="B18" s="23" t="s">
        <v>73</v>
      </c>
      <c r="C18" s="31" t="str">
        <f>IMLN(C14)</f>
        <v>1.85678603335215+0.896055384571344i</v>
      </c>
      <c r="D18" s="27"/>
      <c r="E18" s="28"/>
    </row>
    <row r="19" spans="2:5" x14ac:dyDescent="0.25">
      <c r="B19" s="14"/>
    </row>
    <row r="20" spans="2:5" x14ac:dyDescent="0.25">
      <c r="B20" s="14"/>
    </row>
    <row r="21" spans="2:5" x14ac:dyDescent="0.25">
      <c r="B21" s="14" t="s">
        <v>111</v>
      </c>
    </row>
    <row r="22" spans="2:5" x14ac:dyDescent="0.25">
      <c r="B22" s="14"/>
    </row>
    <row r="23" spans="2:5" x14ac:dyDescent="0.25">
      <c r="B23" s="14" t="s">
        <v>82</v>
      </c>
    </row>
    <row r="24" spans="2:5" x14ac:dyDescent="0.25">
      <c r="B24" s="32" t="s">
        <v>74</v>
      </c>
      <c r="C24" s="33" t="s">
        <v>80</v>
      </c>
      <c r="D24" s="33" t="s">
        <v>81</v>
      </c>
      <c r="E24" s="34" t="s">
        <v>59</v>
      </c>
    </row>
    <row r="25" spans="2:5" x14ac:dyDescent="0.25">
      <c r="B25" s="35">
        <v>3.5</v>
      </c>
      <c r="C25" s="36" cm="1">
        <f t="array" ref="C25">_xlfn.LAMBDA(_xlpm.x,2*_xlpm.x-7)(B25)</f>
        <v>0</v>
      </c>
      <c r="D25" s="36" cm="1">
        <f t="array" ref="D25">BRISTO.BISECT(_xlfn.LAMBDA(_xlpm.x,2*_xlpm.x-7),C25,-10,10)</f>
        <v>3.4999990463256836</v>
      </c>
      <c r="E25" s="37">
        <f>B25-D25</f>
        <v>9.5367431640625E-7</v>
      </c>
    </row>
    <row r="27" spans="2:5" x14ac:dyDescent="0.25">
      <c r="B27" s="32" t="s">
        <v>83</v>
      </c>
      <c r="C27" s="38"/>
      <c r="D27" s="39"/>
    </row>
    <row r="28" spans="2:5" x14ac:dyDescent="0.25">
      <c r="B28" s="40" cm="1">
        <f t="array" ref="B28">BRISTO.ROOT_SOLVER(_xlfn.LAMBDA(_xlpm.x,2*_xlpm.x-7),0)</f>
        <v>3.5</v>
      </c>
      <c r="C28" s="38"/>
      <c r="D28" s="39"/>
    </row>
    <row r="31" spans="2:5" x14ac:dyDescent="0.25">
      <c r="B31" s="14" t="s">
        <v>112</v>
      </c>
    </row>
    <row r="33" spans="2:16" x14ac:dyDescent="0.25">
      <c r="B33" s="14" t="s">
        <v>113</v>
      </c>
    </row>
    <row r="34" spans="2:16" x14ac:dyDescent="0.25">
      <c r="B34" s="32" t="s">
        <v>74</v>
      </c>
      <c r="C34" s="34" t="s">
        <v>75</v>
      </c>
    </row>
    <row r="35" spans="2:16" x14ac:dyDescent="0.25">
      <c r="B35" s="30" cm="1">
        <f t="array" ref="B35:B42">_xlfn.SEQUENCE(8,,,3)</f>
        <v>1</v>
      </c>
      <c r="C35" s="26" cm="1">
        <f t="array" ref="C35:C42">_xlfn.ANCHORARRAY(B35)*2+3+MOD(_xlfn.ANCHORARRAY(B35),2)*3.5</f>
        <v>8.5</v>
      </c>
      <c r="E35" s="3"/>
    </row>
    <row r="36" spans="2:16" x14ac:dyDescent="0.25">
      <c r="B36" s="30">
        <v>4</v>
      </c>
      <c r="C36" s="26">
        <v>11</v>
      </c>
      <c r="E36" s="3"/>
    </row>
    <row r="37" spans="2:16" x14ac:dyDescent="0.25">
      <c r="B37" s="30">
        <v>7</v>
      </c>
      <c r="C37" s="26">
        <v>20.5</v>
      </c>
      <c r="E37" s="3"/>
    </row>
    <row r="38" spans="2:16" x14ac:dyDescent="0.25">
      <c r="B38" s="30">
        <v>10</v>
      </c>
      <c r="C38" s="26">
        <v>23</v>
      </c>
      <c r="E38" s="3"/>
    </row>
    <row r="39" spans="2:16" x14ac:dyDescent="0.25">
      <c r="B39" s="30">
        <v>13</v>
      </c>
      <c r="C39" s="26">
        <v>32.5</v>
      </c>
      <c r="E39" s="3"/>
    </row>
    <row r="40" spans="2:16" x14ac:dyDescent="0.25">
      <c r="B40" s="30">
        <v>16</v>
      </c>
      <c r="C40" s="26">
        <v>35</v>
      </c>
      <c r="E40" s="3"/>
    </row>
    <row r="41" spans="2:16" x14ac:dyDescent="0.25">
      <c r="B41" s="30">
        <v>19</v>
      </c>
      <c r="C41" s="26">
        <v>44.5</v>
      </c>
      <c r="E41" s="3"/>
    </row>
    <row r="42" spans="2:16" x14ac:dyDescent="0.25">
      <c r="B42" s="31">
        <v>22</v>
      </c>
      <c r="C42" s="28">
        <v>47</v>
      </c>
      <c r="E42" s="3"/>
    </row>
    <row r="43" spans="2:16" x14ac:dyDescent="0.25">
      <c r="E43" s="11"/>
    </row>
    <row r="44" spans="2:16" x14ac:dyDescent="0.25">
      <c r="B44" s="47" t="s">
        <v>85</v>
      </c>
      <c r="C44" s="48" t="s">
        <v>90</v>
      </c>
      <c r="D44" s="48" t="s">
        <v>96</v>
      </c>
      <c r="E44" s="48" t="s">
        <v>97</v>
      </c>
      <c r="F44" s="48" t="s">
        <v>99</v>
      </c>
      <c r="G44" s="48" t="s">
        <v>100</v>
      </c>
      <c r="H44" s="48" t="s">
        <v>88</v>
      </c>
      <c r="I44" s="48" t="s">
        <v>86</v>
      </c>
      <c r="J44" s="48" t="s">
        <v>87</v>
      </c>
      <c r="K44" s="48" t="s">
        <v>94</v>
      </c>
      <c r="L44" s="48" t="s">
        <v>89</v>
      </c>
      <c r="M44" s="48" t="s">
        <v>98</v>
      </c>
      <c r="N44" s="48" t="s">
        <v>101</v>
      </c>
      <c r="O44" s="48" t="s">
        <v>103</v>
      </c>
      <c r="P44" s="49" t="s">
        <v>102</v>
      </c>
    </row>
    <row r="45" spans="2:16" x14ac:dyDescent="0.25">
      <c r="B45" s="41" cm="1">
        <f t="array" ref="B45:P46">BRISTO.OLS(_xlfn.ANCHORARRAY(C35),_xlfn.ANCHORARRAY(B35))</f>
        <v>5.3888888888888999</v>
      </c>
      <c r="C45" s="13">
        <v>1.3589362821449877</v>
      </c>
      <c r="D45" s="13">
        <v>3.9655199141367454</v>
      </c>
      <c r="E45" s="13">
        <v>7.4048164053508551E-3</v>
      </c>
      <c r="F45" s="13">
        <v>2.0636915951574464</v>
      </c>
      <c r="G45" s="13">
        <v>8.7140861826203526</v>
      </c>
      <c r="H45" s="13">
        <v>1452.5</v>
      </c>
      <c r="I45" s="13">
        <v>23.333333333333336</v>
      </c>
      <c r="J45" s="13">
        <v>1429.1666666666667</v>
      </c>
      <c r="K45" s="13">
        <v>3.8888888888888893</v>
      </c>
      <c r="L45" s="13">
        <v>0.98393574297188757</v>
      </c>
      <c r="M45" s="13">
        <v>0.98125836680053546</v>
      </c>
      <c r="N45" s="13">
        <v>367.5</v>
      </c>
      <c r="O45" s="13">
        <v>4.9142379763135512E-16</v>
      </c>
      <c r="P45" s="42">
        <v>1.1828571428571406</v>
      </c>
    </row>
    <row r="46" spans="2:16" x14ac:dyDescent="0.25">
      <c r="B46" s="43">
        <v>1.9444444444444446</v>
      </c>
      <c r="C46" s="44">
        <v>0.10143010324169743</v>
      </c>
      <c r="D46" s="44">
        <v>19.170289512680814</v>
      </c>
      <c r="E46" s="44">
        <v>1.303363892642445E-6</v>
      </c>
      <c r="F46" s="44">
        <v>1.6962539227594775</v>
      </c>
      <c r="G46" s="44">
        <v>2.192634966129412</v>
      </c>
      <c r="H46" s="44" t="e">
        <v>#N/A</v>
      </c>
      <c r="I46" s="44" t="e">
        <v>#N/A</v>
      </c>
      <c r="J46" s="44" t="e">
        <v>#N/A</v>
      </c>
      <c r="K46" s="44" t="e">
        <v>#N/A</v>
      </c>
      <c r="L46" s="44" t="e">
        <v>#N/A</v>
      </c>
      <c r="M46" s="44" t="e">
        <v>#N/A</v>
      </c>
      <c r="N46" s="44" t="e">
        <v>#N/A</v>
      </c>
      <c r="O46" s="44" t="e">
        <v>#N/A</v>
      </c>
      <c r="P46" s="45" t="e">
        <v>#N/A</v>
      </c>
    </row>
    <row r="48" spans="2:16" x14ac:dyDescent="0.25">
      <c r="B48" s="32" t="s">
        <v>74</v>
      </c>
      <c r="C48" s="34" t="s">
        <v>104</v>
      </c>
    </row>
    <row r="49" spans="2:10" x14ac:dyDescent="0.25">
      <c r="B49" s="30" cm="1">
        <f t="array" ref="B49:B70">_xlfn.SEQUENCE(22)</f>
        <v>1</v>
      </c>
      <c r="C49" s="26" cm="1">
        <f t="array" ref="C49:C70">_xlfn.ANCHORARRAY(B49)*B46+B45</f>
        <v>7.3333333333333446</v>
      </c>
    </row>
    <row r="50" spans="2:10" x14ac:dyDescent="0.25">
      <c r="B50" s="30">
        <v>2</v>
      </c>
      <c r="C50" s="26">
        <v>9.2777777777777892</v>
      </c>
    </row>
    <row r="51" spans="2:10" x14ac:dyDescent="0.25">
      <c r="B51" s="30">
        <v>3</v>
      </c>
      <c r="C51" s="26">
        <v>11.222222222222234</v>
      </c>
    </row>
    <row r="52" spans="2:10" x14ac:dyDescent="0.25">
      <c r="B52" s="30">
        <v>4</v>
      </c>
      <c r="C52" s="26">
        <v>13.166666666666679</v>
      </c>
    </row>
    <row r="53" spans="2:10" x14ac:dyDescent="0.25">
      <c r="B53" s="30">
        <v>5</v>
      </c>
      <c r="C53" s="26">
        <v>15.111111111111123</v>
      </c>
    </row>
    <row r="54" spans="2:10" x14ac:dyDescent="0.25">
      <c r="B54" s="30">
        <v>6</v>
      </c>
      <c r="C54" s="26">
        <v>17.055555555555568</v>
      </c>
    </row>
    <row r="55" spans="2:10" x14ac:dyDescent="0.25">
      <c r="B55" s="30">
        <v>7</v>
      </c>
      <c r="C55" s="26">
        <v>19.000000000000014</v>
      </c>
    </row>
    <row r="56" spans="2:10" x14ac:dyDescent="0.25">
      <c r="B56" s="30">
        <v>8</v>
      </c>
      <c r="C56" s="26">
        <v>20.944444444444457</v>
      </c>
    </row>
    <row r="57" spans="2:10" x14ac:dyDescent="0.25">
      <c r="B57" s="30">
        <v>9</v>
      </c>
      <c r="C57" s="26">
        <v>22.8888888888889</v>
      </c>
    </row>
    <row r="58" spans="2:10" x14ac:dyDescent="0.25">
      <c r="B58" s="30">
        <v>10</v>
      </c>
      <c r="C58" s="26">
        <v>24.833333333333346</v>
      </c>
    </row>
    <row r="59" spans="2:10" x14ac:dyDescent="0.25">
      <c r="B59" s="30">
        <v>11</v>
      </c>
      <c r="C59" s="26">
        <v>26.777777777777793</v>
      </c>
    </row>
    <row r="60" spans="2:10" x14ac:dyDescent="0.25">
      <c r="B60" s="30">
        <v>12</v>
      </c>
      <c r="C60" s="26">
        <v>28.722222222222236</v>
      </c>
    </row>
    <row r="61" spans="2:10" x14ac:dyDescent="0.25">
      <c r="B61" s="30">
        <v>13</v>
      </c>
      <c r="C61" s="26">
        <v>30.666666666666679</v>
      </c>
      <c r="F61" s="14"/>
      <c r="G61" s="14"/>
      <c r="H61" s="14"/>
      <c r="I61" s="14"/>
      <c r="J61" s="14"/>
    </row>
    <row r="62" spans="2:10" x14ac:dyDescent="0.25">
      <c r="B62" s="30">
        <v>14</v>
      </c>
      <c r="C62" s="26">
        <v>32.611111111111128</v>
      </c>
      <c r="E62" s="14"/>
    </row>
    <row r="63" spans="2:10" x14ac:dyDescent="0.25">
      <c r="B63" s="30">
        <v>15</v>
      </c>
      <c r="C63" s="26">
        <v>34.555555555555571</v>
      </c>
      <c r="E63" s="14"/>
    </row>
    <row r="64" spans="2:10" x14ac:dyDescent="0.25">
      <c r="B64" s="30">
        <v>16</v>
      </c>
      <c r="C64" s="26">
        <v>36.500000000000014</v>
      </c>
      <c r="E64" s="14"/>
    </row>
    <row r="65" spans="2:10" x14ac:dyDescent="0.25">
      <c r="B65" s="30">
        <v>17</v>
      </c>
      <c r="C65" s="26">
        <v>38.444444444444457</v>
      </c>
    </row>
    <row r="66" spans="2:10" x14ac:dyDescent="0.25">
      <c r="B66" s="30">
        <v>18</v>
      </c>
      <c r="C66" s="26">
        <v>40.3888888888889</v>
      </c>
    </row>
    <row r="67" spans="2:10" x14ac:dyDescent="0.25">
      <c r="B67" s="30">
        <v>19</v>
      </c>
      <c r="C67" s="26">
        <v>42.33333333333335</v>
      </c>
      <c r="F67" s="14"/>
      <c r="G67" s="14"/>
      <c r="H67" s="14"/>
      <c r="I67" s="14"/>
      <c r="J67" s="14"/>
    </row>
    <row r="68" spans="2:10" x14ac:dyDescent="0.25">
      <c r="B68" s="30">
        <v>20</v>
      </c>
      <c r="C68" s="26">
        <v>44.277777777777793</v>
      </c>
      <c r="E68" s="14"/>
    </row>
    <row r="69" spans="2:10" x14ac:dyDescent="0.25">
      <c r="B69" s="30">
        <v>21</v>
      </c>
      <c r="C69" s="26">
        <v>46.222222222222236</v>
      </c>
      <c r="E69" s="14"/>
    </row>
    <row r="70" spans="2:10" x14ac:dyDescent="0.25">
      <c r="B70" s="31">
        <v>22</v>
      </c>
      <c r="C70" s="28">
        <v>48.166666666666686</v>
      </c>
    </row>
    <row r="72" spans="2:10" x14ac:dyDescent="0.25">
      <c r="E72" s="14"/>
    </row>
    <row r="73" spans="2:10" x14ac:dyDescent="0.25">
      <c r="B73" s="14" t="s">
        <v>114</v>
      </c>
      <c r="E73" s="14"/>
    </row>
    <row r="74" spans="2:10" x14ac:dyDescent="0.25">
      <c r="B74" s="32" t="s">
        <v>95</v>
      </c>
      <c r="C74" s="46" t="s">
        <v>75</v>
      </c>
      <c r="D74" s="33" t="s">
        <v>105</v>
      </c>
      <c r="E74" s="33" t="s">
        <v>106</v>
      </c>
      <c r="F74" s="33" t="s">
        <v>107</v>
      </c>
      <c r="G74" s="33" t="s">
        <v>108</v>
      </c>
      <c r="H74" s="34" t="s">
        <v>109</v>
      </c>
    </row>
    <row r="75" spans="2:10" x14ac:dyDescent="0.25">
      <c r="B75" s="30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6">
        <v>34.03</v>
      </c>
    </row>
    <row r="76" spans="2:10" x14ac:dyDescent="0.25">
      <c r="B76" s="30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6">
        <v>16.760000000000002</v>
      </c>
    </row>
    <row r="77" spans="2:10" x14ac:dyDescent="0.25">
      <c r="B77" s="30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6">
        <v>19.989999999999998</v>
      </c>
    </row>
    <row r="78" spans="2:10" x14ac:dyDescent="0.25">
      <c r="B78" s="30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6">
        <v>38.76</v>
      </c>
    </row>
    <row r="79" spans="2:10" x14ac:dyDescent="0.25">
      <c r="B79" s="30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6">
        <v>35.590000000000003</v>
      </c>
    </row>
    <row r="80" spans="2:10" x14ac:dyDescent="0.25">
      <c r="B80" s="30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6">
        <v>24.01</v>
      </c>
    </row>
    <row r="81" spans="2:20" x14ac:dyDescent="0.25">
      <c r="B81" s="30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6">
        <v>54.9</v>
      </c>
    </row>
    <row r="82" spans="2:20" x14ac:dyDescent="0.25">
      <c r="B82" s="30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6">
        <v>60.17</v>
      </c>
      <c r="S82" s="3"/>
      <c r="T82" s="19"/>
    </row>
    <row r="83" spans="2:20" x14ac:dyDescent="0.25">
      <c r="B83" s="30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6">
        <v>70.33</v>
      </c>
      <c r="S83" s="3"/>
      <c r="T83" s="19"/>
    </row>
    <row r="84" spans="2:20" x14ac:dyDescent="0.25">
      <c r="B84" s="30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6">
        <v>45.87</v>
      </c>
      <c r="S84" s="3"/>
      <c r="T84" s="19"/>
    </row>
    <row r="85" spans="2:20" x14ac:dyDescent="0.25">
      <c r="B85" s="30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6">
        <v>34.18</v>
      </c>
      <c r="S85" s="3"/>
      <c r="T85" s="19"/>
    </row>
    <row r="86" spans="2:20" x14ac:dyDescent="0.25">
      <c r="B86" s="30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6">
        <v>10.54</v>
      </c>
      <c r="S86" s="3"/>
      <c r="T86" s="19"/>
    </row>
    <row r="87" spans="2:20" x14ac:dyDescent="0.25">
      <c r="B87" s="30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6">
        <v>12.44</v>
      </c>
      <c r="S87" s="3"/>
      <c r="T87" s="19"/>
    </row>
    <row r="88" spans="2:20" x14ac:dyDescent="0.25">
      <c r="B88" s="30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6">
        <v>42.65</v>
      </c>
      <c r="S88" s="3"/>
      <c r="T88" s="19"/>
    </row>
    <row r="89" spans="2:20" x14ac:dyDescent="0.25">
      <c r="B89" s="30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6">
        <v>36.659999999999997</v>
      </c>
      <c r="S89" s="3"/>
      <c r="T89" s="19"/>
    </row>
    <row r="90" spans="2:20" x14ac:dyDescent="0.25">
      <c r="B90" s="31">
        <v>2</v>
      </c>
      <c r="C90" s="36">
        <v>27.91</v>
      </c>
      <c r="D90" s="27">
        <v>31.67</v>
      </c>
      <c r="E90" s="27">
        <v>1.05</v>
      </c>
      <c r="F90" s="27">
        <v>32.65</v>
      </c>
      <c r="G90" s="27">
        <v>-28.44</v>
      </c>
      <c r="H90" s="28">
        <v>62.05</v>
      </c>
      <c r="S90" s="3"/>
      <c r="T90" s="19"/>
    </row>
    <row r="91" spans="2:20" x14ac:dyDescent="0.25">
      <c r="S91" s="3"/>
      <c r="T91" s="19"/>
    </row>
    <row r="92" spans="2:20" x14ac:dyDescent="0.25">
      <c r="B92" s="47" t="s">
        <v>85</v>
      </c>
      <c r="C92" s="48" t="s">
        <v>90</v>
      </c>
      <c r="D92" s="48" t="s">
        <v>96</v>
      </c>
      <c r="E92" s="48" t="s">
        <v>97</v>
      </c>
      <c r="F92" s="48" t="s">
        <v>99</v>
      </c>
      <c r="G92" s="48" t="s">
        <v>100</v>
      </c>
      <c r="H92" s="48" t="s">
        <v>88</v>
      </c>
      <c r="I92" s="48" t="s">
        <v>86</v>
      </c>
      <c r="J92" s="48" t="s">
        <v>87</v>
      </c>
      <c r="K92" s="48" t="s">
        <v>94</v>
      </c>
      <c r="L92" s="48" t="s">
        <v>89</v>
      </c>
      <c r="M92" s="48" t="s">
        <v>98</v>
      </c>
      <c r="N92" s="48" t="s">
        <v>101</v>
      </c>
      <c r="O92" s="48" t="s">
        <v>103</v>
      </c>
      <c r="P92" s="49" t="s">
        <v>102</v>
      </c>
      <c r="S92" s="3"/>
      <c r="T92" s="19"/>
    </row>
    <row r="93" spans="2:20" x14ac:dyDescent="0.25">
      <c r="B93" s="41" cm="1">
        <f t="array" ref="B93:P98">BRISTO.OLS(C75:C90,D75:H90,B75:B90)</f>
        <v>1.6167582779083887</v>
      </c>
      <c r="C93" s="13">
        <v>1.0913101007960007</v>
      </c>
      <c r="D93" s="13">
        <v>1.4814838392214336</v>
      </c>
      <c r="E93" s="13">
        <v>0.16928609209291148</v>
      </c>
      <c r="F93" s="13">
        <v>-0.81483215724023772</v>
      </c>
      <c r="G93" s="13">
        <v>4.048348713057015</v>
      </c>
      <c r="H93" s="13">
        <v>1800.2137343749998</v>
      </c>
      <c r="I93" s="13">
        <v>11.246229077227955</v>
      </c>
      <c r="J93" s="13">
        <v>1788.9675052977718</v>
      </c>
      <c r="K93" s="13">
        <v>1.1246229077227956</v>
      </c>
      <c r="L93" s="13">
        <v>0.99375283675350223</v>
      </c>
      <c r="M93" s="13">
        <v>0.99062925513025335</v>
      </c>
      <c r="N93" s="13">
        <v>318.14530773167007</v>
      </c>
      <c r="O93" s="13">
        <v>-0.73634851591496486</v>
      </c>
      <c r="P93" s="42">
        <v>2.6728669640443008</v>
      </c>
      <c r="S93" s="3"/>
      <c r="T93" s="19"/>
    </row>
    <row r="94" spans="2:20" x14ac:dyDescent="0.25">
      <c r="B94" s="41">
        <v>0.38370226964298126</v>
      </c>
      <c r="C94" s="13">
        <v>0.4286751909117103</v>
      </c>
      <c r="D94" s="13">
        <v>0.89508858403239944</v>
      </c>
      <c r="E94" s="13">
        <v>0.39177524463928615</v>
      </c>
      <c r="F94" s="13">
        <v>-0.57144557811003394</v>
      </c>
      <c r="G94" s="13">
        <v>1.3388501173959964</v>
      </c>
      <c r="H94" s="13" t="e">
        <v>#N/A</v>
      </c>
      <c r="I94" s="13" t="e">
        <v>#N/A</v>
      </c>
      <c r="J94" s="13" t="e">
        <v>#N/A</v>
      </c>
      <c r="K94" s="13" t="e">
        <v>#N/A</v>
      </c>
      <c r="L94" s="13" t="e">
        <v>#N/A</v>
      </c>
      <c r="M94" s="13" t="e">
        <v>#N/A</v>
      </c>
      <c r="N94" s="13" t="e">
        <v>#N/A</v>
      </c>
      <c r="O94" s="13" t="e">
        <v>#N/A</v>
      </c>
      <c r="P94" s="42" t="e">
        <v>#N/A</v>
      </c>
      <c r="S94" s="3"/>
      <c r="T94" s="19"/>
    </row>
    <row r="95" spans="2:20" x14ac:dyDescent="0.25">
      <c r="B95" s="41">
        <v>-8.5261840690915136E-2</v>
      </c>
      <c r="C95" s="13">
        <v>8.7554095098926907E-2</v>
      </c>
      <c r="D95" s="13">
        <v>-0.97381899264195737</v>
      </c>
      <c r="E95" s="13">
        <v>0.35311348361141748</v>
      </c>
      <c r="F95" s="13">
        <v>-0.28034452163133522</v>
      </c>
      <c r="G95" s="13">
        <v>0.10982084024950495</v>
      </c>
      <c r="H95" s="13" t="e">
        <v>#N/A</v>
      </c>
      <c r="I95" s="13" t="e">
        <v>#N/A</v>
      </c>
      <c r="J95" s="13" t="e">
        <v>#N/A</v>
      </c>
      <c r="K95" s="13" t="e">
        <v>#N/A</v>
      </c>
      <c r="L95" s="13" t="e">
        <v>#N/A</v>
      </c>
      <c r="M95" s="13" t="e">
        <v>#N/A</v>
      </c>
      <c r="N95" s="13" t="e">
        <v>#N/A</v>
      </c>
      <c r="O95" s="13" t="e">
        <v>#N/A</v>
      </c>
      <c r="P95" s="42" t="e">
        <v>#N/A</v>
      </c>
      <c r="S95" s="3"/>
      <c r="T95" s="19"/>
    </row>
    <row r="96" spans="2:20" x14ac:dyDescent="0.25">
      <c r="B96" s="41">
        <v>-8.9641254373660217E-2</v>
      </c>
      <c r="C96" s="13">
        <v>0.11135025181258409</v>
      </c>
      <c r="D96" s="13">
        <v>-0.80503863183477364</v>
      </c>
      <c r="E96" s="13">
        <v>0.43951860579172064</v>
      </c>
      <c r="F96" s="13">
        <v>-0.33774507661573394</v>
      </c>
      <c r="G96" s="13">
        <v>0.15846256786841348</v>
      </c>
      <c r="H96" s="13" t="e">
        <v>#N/A</v>
      </c>
      <c r="I96" s="13" t="e">
        <v>#N/A</v>
      </c>
      <c r="J96" s="13" t="e">
        <v>#N/A</v>
      </c>
      <c r="K96" s="13" t="e">
        <v>#N/A</v>
      </c>
      <c r="L96" s="13" t="e">
        <v>#N/A</v>
      </c>
      <c r="M96" s="13" t="e">
        <v>#N/A</v>
      </c>
      <c r="N96" s="13" t="e">
        <v>#N/A</v>
      </c>
      <c r="O96" s="13" t="e">
        <v>#N/A</v>
      </c>
      <c r="P96" s="42" t="e">
        <v>#N/A</v>
      </c>
      <c r="S96" s="3"/>
      <c r="T96" s="19"/>
    </row>
    <row r="97" spans="2:22" x14ac:dyDescent="0.25">
      <c r="B97" s="41">
        <v>-1.0631563592745152</v>
      </c>
      <c r="C97" s="13">
        <v>0.12214300486952828</v>
      </c>
      <c r="D97" s="13">
        <v>-8.7041935836617608</v>
      </c>
      <c r="E97" s="13">
        <v>5.5827784043519771E-6</v>
      </c>
      <c r="F97" s="13">
        <v>-1.3353079339226599</v>
      </c>
      <c r="G97" s="13">
        <v>-0.79100478462637058</v>
      </c>
      <c r="H97" s="13" t="e">
        <v>#N/A</v>
      </c>
      <c r="I97" s="13" t="e">
        <v>#N/A</v>
      </c>
      <c r="J97" s="13" t="e">
        <v>#N/A</v>
      </c>
      <c r="K97" s="13" t="e">
        <v>#N/A</v>
      </c>
      <c r="L97" s="13" t="e">
        <v>#N/A</v>
      </c>
      <c r="M97" s="13" t="e">
        <v>#N/A</v>
      </c>
      <c r="N97" s="13" t="e">
        <v>#N/A</v>
      </c>
      <c r="O97" s="13" t="e">
        <v>#N/A</v>
      </c>
      <c r="P97" s="42" t="e">
        <v>#N/A</v>
      </c>
      <c r="T97" s="19"/>
    </row>
    <row r="98" spans="2:22" x14ac:dyDescent="0.25">
      <c r="B98" s="43">
        <v>-0.21926020720252382</v>
      </c>
      <c r="C98" s="44">
        <v>0.21433201914663699</v>
      </c>
      <c r="D98" s="44">
        <v>-1.0229932423326593</v>
      </c>
      <c r="E98" s="44">
        <v>0.33042120410646814</v>
      </c>
      <c r="F98" s="44">
        <v>-0.6968217062878117</v>
      </c>
      <c r="G98" s="44">
        <v>0.25830129188276413</v>
      </c>
      <c r="H98" s="44" t="e">
        <v>#N/A</v>
      </c>
      <c r="I98" s="44" t="e">
        <v>#N/A</v>
      </c>
      <c r="J98" s="44" t="e">
        <v>#N/A</v>
      </c>
      <c r="K98" s="44" t="e">
        <v>#N/A</v>
      </c>
      <c r="L98" s="44" t="e">
        <v>#N/A</v>
      </c>
      <c r="M98" s="44" t="e">
        <v>#N/A</v>
      </c>
      <c r="N98" s="44" t="e">
        <v>#N/A</v>
      </c>
      <c r="O98" s="44" t="e">
        <v>#N/A</v>
      </c>
      <c r="P98" s="45" t="e">
        <v>#N/A</v>
      </c>
    </row>
    <row r="99" spans="2:22" x14ac:dyDescent="0.25">
      <c r="R99" s="20"/>
      <c r="U99" s="12"/>
      <c r="V99" s="10"/>
    </row>
    <row r="100" spans="2:22" x14ac:dyDescent="0.25">
      <c r="U100" s="12"/>
      <c r="V100" s="10"/>
    </row>
    <row r="101" spans="2:22" x14ac:dyDescent="0.25">
      <c r="B101" s="14" t="s">
        <v>115</v>
      </c>
      <c r="U101" s="12"/>
      <c r="V101" s="10"/>
    </row>
    <row r="102" spans="2:22" x14ac:dyDescent="0.25">
      <c r="U102" s="12"/>
      <c r="V102" s="10"/>
    </row>
    <row r="103" spans="2:22" x14ac:dyDescent="0.25">
      <c r="B103" s="54" t="s">
        <v>105</v>
      </c>
      <c r="C103" s="50" t="s">
        <v>118</v>
      </c>
      <c r="F103" s="32" t="s">
        <v>117</v>
      </c>
      <c r="G103" s="46" t="s">
        <v>105</v>
      </c>
      <c r="H103" s="50" t="s">
        <v>118</v>
      </c>
      <c r="M103" s="3"/>
      <c r="N103" s="3"/>
      <c r="O103" s="3"/>
    </row>
    <row r="104" spans="2:22" x14ac:dyDescent="0.25">
      <c r="B104" s="35">
        <v>10000</v>
      </c>
      <c r="C104" s="37">
        <v>10000</v>
      </c>
      <c r="F104" s="53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51">
        <v>3.0000062322743464</v>
      </c>
      <c r="H104" s="52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2" t="s">
        <v>105</v>
      </c>
      <c r="C106" s="33" t="s">
        <v>118</v>
      </c>
      <c r="D106" s="50" t="s">
        <v>107</v>
      </c>
      <c r="F106" s="32" t="s">
        <v>117</v>
      </c>
      <c r="G106" s="46" t="s">
        <v>105</v>
      </c>
      <c r="H106" s="46" t="s">
        <v>118</v>
      </c>
      <c r="I106" s="50" t="s">
        <v>107</v>
      </c>
      <c r="M106" s="10"/>
      <c r="N106" s="3"/>
      <c r="O106" s="3"/>
    </row>
    <row r="107" spans="2:22" x14ac:dyDescent="0.25">
      <c r="B107" s="35">
        <v>10000</v>
      </c>
      <c r="C107" s="36">
        <v>10000</v>
      </c>
      <c r="D107" s="37">
        <v>10000</v>
      </c>
      <c r="F107" s="53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51">
        <v>9.9999893224415892</v>
      </c>
      <c r="H107" s="51">
        <v>-10.000001607751738</v>
      </c>
      <c r="I107" s="52">
        <v>1.9999977822096282</v>
      </c>
      <c r="M107" s="10"/>
      <c r="N107" s="3"/>
      <c r="O107" s="3"/>
    </row>
    <row r="108" spans="2:22" x14ac:dyDescent="0.25">
      <c r="M108" s="10"/>
      <c r="N108" s="3"/>
      <c r="O108" s="3"/>
    </row>
    <row r="109" spans="2:22" x14ac:dyDescent="0.25">
      <c r="M109" s="10"/>
      <c r="N109" s="3"/>
      <c r="O109" s="3"/>
    </row>
    <row r="110" spans="2:22" x14ac:dyDescent="0.25">
      <c r="B110" s="14" t="s">
        <v>124</v>
      </c>
      <c r="M110" s="10"/>
      <c r="N110" s="3"/>
      <c r="O110" s="3"/>
    </row>
    <row r="111" spans="2:22" x14ac:dyDescent="0.25">
      <c r="M111" s="10"/>
      <c r="N111" s="3"/>
      <c r="O111" s="3"/>
    </row>
    <row r="112" spans="2:22" x14ac:dyDescent="0.25">
      <c r="B112" s="32" t="s">
        <v>125</v>
      </c>
      <c r="C112" s="38"/>
      <c r="D112" s="38"/>
      <c r="E112" s="39"/>
      <c r="G112" s="32" t="s">
        <v>121</v>
      </c>
      <c r="H112" s="33" t="s">
        <v>85</v>
      </c>
      <c r="I112" s="34" t="s">
        <v>122</v>
      </c>
      <c r="J112" s="58" t="s">
        <v>123</v>
      </c>
      <c r="L112" s="58" t="s">
        <v>74</v>
      </c>
      <c r="N112" s="3"/>
      <c r="O112" s="3"/>
    </row>
    <row r="113" spans="2:16" x14ac:dyDescent="0.25">
      <c r="B113" s="29">
        <v>2</v>
      </c>
      <c r="C113" s="24">
        <v>-1</v>
      </c>
      <c r="D113" s="24">
        <v>0</v>
      </c>
      <c r="E113" s="25">
        <v>0</v>
      </c>
      <c r="F113" s="3"/>
      <c r="G113" s="30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6" cm="1">
        <f t="array" ref="I113:I116">_xlfn.LET(_xlpm.m,B113:E116,_xlfn.MAP(_xlfn.SEQUENCE(ROWS(_xlpm.m)),_xlfn.LAMBDA(_xlpm.i,IF(_xlpm.i=ROWS(_xlpm.m),0,INDEX(_xlpm.m,_xlpm.i,_xlpm.i+1)))))</f>
        <v>-1</v>
      </c>
      <c r="J113" s="55">
        <v>0</v>
      </c>
      <c r="L113" s="59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30">
        <v>-1</v>
      </c>
      <c r="C114">
        <v>2</v>
      </c>
      <c r="D114">
        <v>-1</v>
      </c>
      <c r="E114" s="26">
        <v>0</v>
      </c>
      <c r="F114" s="3"/>
      <c r="G114" s="30">
        <v>-1</v>
      </c>
      <c r="H114">
        <v>2</v>
      </c>
      <c r="I114" s="26">
        <v>-1</v>
      </c>
      <c r="J114" s="56">
        <v>0</v>
      </c>
      <c r="L114" s="59">
        <v>1.9999999999999987</v>
      </c>
      <c r="N114" s="3"/>
      <c r="O114" s="3"/>
    </row>
    <row r="115" spans="2:16" x14ac:dyDescent="0.25">
      <c r="B115" s="30">
        <v>0</v>
      </c>
      <c r="C115">
        <v>-1</v>
      </c>
      <c r="D115">
        <v>2</v>
      </c>
      <c r="E115" s="26">
        <v>-1</v>
      </c>
      <c r="F115" s="3"/>
      <c r="G115" s="30">
        <v>-1</v>
      </c>
      <c r="H115">
        <v>2</v>
      </c>
      <c r="I115" s="26">
        <v>-1</v>
      </c>
      <c r="J115" s="56">
        <v>1</v>
      </c>
      <c r="L115" s="59">
        <v>2.9999999999999982</v>
      </c>
      <c r="N115" s="3"/>
      <c r="O115" s="3"/>
    </row>
    <row r="116" spans="2:16" x14ac:dyDescent="0.25">
      <c r="B116" s="31">
        <v>0</v>
      </c>
      <c r="C116" s="27">
        <v>0</v>
      </c>
      <c r="D116" s="27">
        <v>-1</v>
      </c>
      <c r="E116" s="28">
        <v>1</v>
      </c>
      <c r="F116" s="3"/>
      <c r="G116" s="31">
        <v>-1</v>
      </c>
      <c r="H116" s="27">
        <v>1</v>
      </c>
      <c r="I116" s="28">
        <v>0</v>
      </c>
      <c r="J116" s="57">
        <v>0</v>
      </c>
      <c r="L116" s="60">
        <v>2.9999999999999982</v>
      </c>
      <c r="N116" s="3"/>
      <c r="O116" s="3"/>
    </row>
    <row r="117" spans="2:16" x14ac:dyDescent="0.25">
      <c r="M117" s="10"/>
      <c r="N117" s="3"/>
      <c r="O117" s="3"/>
    </row>
    <row r="118" spans="2:16" x14ac:dyDescent="0.25">
      <c r="M118" s="10"/>
      <c r="N118" s="3"/>
      <c r="O118" s="3"/>
    </row>
    <row r="119" spans="2:16" x14ac:dyDescent="0.25">
      <c r="B119" s="14" t="s">
        <v>119</v>
      </c>
      <c r="M119" s="10"/>
      <c r="N119" s="3"/>
      <c r="O119" s="3"/>
    </row>
    <row r="120" spans="2:16" x14ac:dyDescent="0.25">
      <c r="B120" s="3"/>
      <c r="C120" s="3"/>
      <c r="D120" s="3"/>
      <c r="E120" s="3"/>
      <c r="F120" s="3"/>
      <c r="M120" s="10"/>
      <c r="N120" s="3"/>
      <c r="O120" s="3"/>
    </row>
    <row r="121" spans="2:16" x14ac:dyDescent="0.25">
      <c r="B121" s="54" t="s">
        <v>128</v>
      </c>
      <c r="C121" s="50" t="s">
        <v>129</v>
      </c>
      <c r="D121" s="3"/>
      <c r="E121" s="54" t="s">
        <v>74</v>
      </c>
      <c r="F121" s="50" t="s">
        <v>120</v>
      </c>
      <c r="L121" s="10"/>
      <c r="M121" s="3"/>
      <c r="N121" s="3"/>
    </row>
    <row r="122" spans="2:16" x14ac:dyDescent="0.25">
      <c r="B122" s="62" cm="1">
        <f t="array" ref="B122:B130">_xlfn.SEQUENCE(9,,1)</f>
        <v>1</v>
      </c>
      <c r="C122" s="63">
        <v>0.4</v>
      </c>
      <c r="D122" s="3"/>
      <c r="E122" s="62" cm="1">
        <f t="array" ref="E122:E201">_xlfn.SEQUENCE(80,,1,0.1)</f>
        <v>1</v>
      </c>
      <c r="F122" s="42" cm="1">
        <f t="array" ref="F122:F201">BRISTO.NSPLINE(_xlfn.ANCHORARRAY(B122),C122:C130,_xlfn.ANCHORARRAY(E122))</f>
        <v>0.4</v>
      </c>
      <c r="H122" s="16"/>
      <c r="I122" s="3"/>
      <c r="L122" s="10"/>
      <c r="M122" s="3"/>
      <c r="N122" s="3"/>
    </row>
    <row r="123" spans="2:16" x14ac:dyDescent="0.25">
      <c r="B123" s="62">
        <v>2</v>
      </c>
      <c r="C123" s="63">
        <v>0.5</v>
      </c>
      <c r="D123" s="3"/>
      <c r="E123" s="62">
        <v>1.1000000000000001</v>
      </c>
      <c r="F123" s="42">
        <v>0.39906935751104566</v>
      </c>
      <c r="H123" s="16"/>
      <c r="I123" s="3"/>
      <c r="L123" s="10"/>
      <c r="M123" s="3"/>
      <c r="N123" s="3"/>
    </row>
    <row r="124" spans="2:16" x14ac:dyDescent="0.25">
      <c r="B124" s="62">
        <v>3</v>
      </c>
      <c r="C124" s="63">
        <v>0.8</v>
      </c>
      <c r="D124" s="3"/>
      <c r="E124" s="62">
        <v>1.2000000000000002</v>
      </c>
      <c r="F124" s="42">
        <v>0.39880117820324007</v>
      </c>
      <c r="H124" s="16"/>
      <c r="I124" s="3"/>
      <c r="L124" s="10"/>
      <c r="M124" s="3"/>
      <c r="N124" s="3"/>
      <c r="O124" s="3"/>
      <c r="P124" s="3"/>
    </row>
    <row r="125" spans="2:16" x14ac:dyDescent="0.25">
      <c r="B125" s="62">
        <v>4</v>
      </c>
      <c r="C125" s="63">
        <v>0.4</v>
      </c>
      <c r="D125" s="3"/>
      <c r="E125" s="62">
        <v>1.3000000000000003</v>
      </c>
      <c r="F125" s="42">
        <v>0.39985792525773195</v>
      </c>
      <c r="H125" s="16"/>
      <c r="I125" s="3"/>
      <c r="L125" s="10"/>
      <c r="M125" s="3"/>
      <c r="N125" s="3"/>
      <c r="O125" s="3"/>
      <c r="P125" s="3"/>
    </row>
    <row r="126" spans="2:16" x14ac:dyDescent="0.25">
      <c r="B126" s="62">
        <v>5</v>
      </c>
      <c r="C126" s="63">
        <v>0.3</v>
      </c>
      <c r="D126" s="3"/>
      <c r="E126" s="62">
        <v>1.4000000000000004</v>
      </c>
      <c r="F126" s="42">
        <v>0.40290206185567012</v>
      </c>
      <c r="H126" s="16"/>
      <c r="I126" s="3"/>
      <c r="L126" s="10"/>
      <c r="M126" s="3"/>
      <c r="N126" s="3"/>
      <c r="O126" s="3"/>
      <c r="P126" s="3"/>
    </row>
    <row r="127" spans="2:16" x14ac:dyDescent="0.25">
      <c r="B127" s="62">
        <v>6</v>
      </c>
      <c r="C127" s="63">
        <v>0.1</v>
      </c>
      <c r="D127" s="3"/>
      <c r="E127" s="62">
        <v>1.5000000000000004</v>
      </c>
      <c r="F127" s="42">
        <v>0.4085960511782033</v>
      </c>
      <c r="H127" s="16"/>
      <c r="I127" s="3"/>
      <c r="L127" s="10"/>
      <c r="M127" s="3"/>
      <c r="N127" s="3"/>
      <c r="O127" s="3"/>
      <c r="P127" s="3"/>
    </row>
    <row r="128" spans="2:16" x14ac:dyDescent="0.25">
      <c r="B128" s="62">
        <v>7</v>
      </c>
      <c r="C128" s="63">
        <v>0.2</v>
      </c>
      <c r="E128" s="62">
        <v>1.6000000000000005</v>
      </c>
      <c r="F128" s="42">
        <v>0.41760235640648019</v>
      </c>
      <c r="H128" s="16"/>
      <c r="I128" s="3"/>
      <c r="L128" s="10"/>
      <c r="M128" s="3"/>
      <c r="N128" s="3"/>
    </row>
    <row r="129" spans="2:9" x14ac:dyDescent="0.25">
      <c r="B129" s="62">
        <v>8</v>
      </c>
      <c r="C129" s="63">
        <v>0.6</v>
      </c>
      <c r="E129" s="62">
        <v>1.7000000000000006</v>
      </c>
      <c r="F129" s="42">
        <v>0.43058344072164956</v>
      </c>
      <c r="H129" s="16"/>
      <c r="I129" s="3"/>
    </row>
    <row r="130" spans="2:9" x14ac:dyDescent="0.25">
      <c r="B130" s="35">
        <v>9</v>
      </c>
      <c r="C130" s="37">
        <v>0.7</v>
      </c>
      <c r="E130" s="62">
        <v>1.8000000000000007</v>
      </c>
      <c r="F130" s="42">
        <v>0.44820176730486022</v>
      </c>
      <c r="H130" s="16"/>
      <c r="I130" s="3"/>
    </row>
    <row r="131" spans="2:9" x14ac:dyDescent="0.25">
      <c r="B131" s="3"/>
      <c r="C131" s="3"/>
      <c r="E131" s="62">
        <v>1.9000000000000008</v>
      </c>
      <c r="F131" s="42">
        <v>0.47111979933726089</v>
      </c>
      <c r="H131" s="16"/>
      <c r="I131" s="3"/>
    </row>
    <row r="132" spans="2:9" x14ac:dyDescent="0.25">
      <c r="B132" s="3"/>
      <c r="C132" s="3"/>
      <c r="D132" s="12"/>
      <c r="E132" s="62">
        <v>2.0000000000000009</v>
      </c>
      <c r="F132" s="42">
        <v>0.50000000000000033</v>
      </c>
      <c r="H132" s="16"/>
      <c r="I132" s="3"/>
    </row>
    <row r="133" spans="2:9" x14ac:dyDescent="0.25">
      <c r="D133" s="12"/>
      <c r="E133" s="62">
        <v>2.100000000000001</v>
      </c>
      <c r="F133" s="42">
        <v>0.53504236929307847</v>
      </c>
      <c r="H133" s="16"/>
      <c r="I133" s="3"/>
    </row>
    <row r="134" spans="2:9" x14ac:dyDescent="0.25">
      <c r="D134" s="12"/>
      <c r="E134" s="62">
        <v>2.2000000000000011</v>
      </c>
      <c r="F134" s="42">
        <v>0.57459705449190035</v>
      </c>
      <c r="H134" s="16"/>
      <c r="I134" s="3"/>
    </row>
    <row r="135" spans="2:9" x14ac:dyDescent="0.25">
      <c r="B135" s="3"/>
      <c r="C135" s="3"/>
      <c r="D135" s="12"/>
      <c r="E135" s="62">
        <v>2.3000000000000012</v>
      </c>
      <c r="F135" s="42">
        <v>0.61655173969072219</v>
      </c>
      <c r="H135" s="16"/>
      <c r="I135" s="3"/>
    </row>
    <row r="136" spans="2:9" x14ac:dyDescent="0.25">
      <c r="B136" s="3"/>
      <c r="C136" s="3"/>
      <c r="D136" s="12"/>
      <c r="E136" s="62">
        <v>2.4000000000000012</v>
      </c>
      <c r="F136" s="42">
        <v>0.65879410898380031</v>
      </c>
      <c r="H136" s="16"/>
      <c r="I136" s="3"/>
    </row>
    <row r="137" spans="2:9" x14ac:dyDescent="0.25">
      <c r="B137" s="3"/>
      <c r="C137" s="3"/>
      <c r="D137" s="12"/>
      <c r="E137" s="62">
        <v>2.5000000000000013</v>
      </c>
      <c r="F137" s="42">
        <v>0.69921184646539081</v>
      </c>
      <c r="H137" s="16"/>
      <c r="I137" s="3"/>
    </row>
    <row r="138" spans="2:9" x14ac:dyDescent="0.25">
      <c r="B138" s="3"/>
      <c r="C138" s="3"/>
      <c r="D138" s="12"/>
      <c r="E138" s="62">
        <v>2.6000000000000014</v>
      </c>
      <c r="F138" s="42">
        <v>0.73569263622975012</v>
      </c>
      <c r="H138" s="16"/>
      <c r="I138" s="3"/>
    </row>
    <row r="139" spans="2:9" x14ac:dyDescent="0.25">
      <c r="B139" s="3"/>
      <c r="C139" s="3"/>
      <c r="D139" s="12"/>
      <c r="E139" s="62">
        <v>2.7000000000000015</v>
      </c>
      <c r="F139" s="42">
        <v>0.76612416237113445</v>
      </c>
      <c r="H139" s="16"/>
      <c r="I139" s="3"/>
    </row>
    <row r="140" spans="2:9" x14ac:dyDescent="0.25">
      <c r="B140" s="3"/>
      <c r="C140" s="3"/>
      <c r="D140" s="12"/>
      <c r="E140" s="62">
        <v>2.8000000000000016</v>
      </c>
      <c r="F140" s="42">
        <v>0.78839410898380002</v>
      </c>
      <c r="H140" s="16"/>
      <c r="I140" s="3"/>
    </row>
    <row r="141" spans="2:9" x14ac:dyDescent="0.25">
      <c r="B141" s="3"/>
      <c r="C141" s="3"/>
      <c r="D141" s="12"/>
      <c r="E141" s="62">
        <v>2.9000000000000017</v>
      </c>
      <c r="F141" s="42">
        <v>0.80039016016200304</v>
      </c>
      <c r="H141" s="16"/>
      <c r="I141" s="3"/>
    </row>
    <row r="142" spans="2:9" x14ac:dyDescent="0.25">
      <c r="B142" s="3"/>
      <c r="C142" s="3"/>
      <c r="D142" s="12"/>
      <c r="E142" s="62">
        <v>3.0000000000000018</v>
      </c>
      <c r="F142" s="42">
        <v>0.79999999999999993</v>
      </c>
      <c r="H142" s="16"/>
      <c r="I142" s="3"/>
    </row>
    <row r="143" spans="2:9" x14ac:dyDescent="0.25">
      <c r="B143" s="3"/>
      <c r="C143" s="3"/>
      <c r="D143" s="12"/>
      <c r="E143" s="62">
        <v>3.1000000000000019</v>
      </c>
      <c r="F143" s="42">
        <v>0.78586116531664174</v>
      </c>
      <c r="H143" s="16"/>
      <c r="I143" s="3"/>
    </row>
    <row r="144" spans="2:9" x14ac:dyDescent="0.25">
      <c r="B144" s="3"/>
      <c r="C144" s="3"/>
      <c r="D144" s="12"/>
      <c r="E144" s="62">
        <v>3.200000000000002</v>
      </c>
      <c r="F144" s="42">
        <v>0.7596106038291599</v>
      </c>
      <c r="H144" s="16"/>
      <c r="I144" s="3"/>
    </row>
    <row r="145" spans="4:9" x14ac:dyDescent="0.25">
      <c r="D145" s="12"/>
      <c r="E145" s="62">
        <v>3.300000000000002</v>
      </c>
      <c r="F145" s="42">
        <v>0.72363511597938068</v>
      </c>
      <c r="H145" s="16"/>
      <c r="I145" s="3"/>
    </row>
    <row r="146" spans="4:9" x14ac:dyDescent="0.25">
      <c r="D146" s="12"/>
      <c r="E146" s="62">
        <v>3.4000000000000021</v>
      </c>
      <c r="F146" s="42">
        <v>0.68032150220913012</v>
      </c>
      <c r="H146" s="16"/>
      <c r="I146" s="3"/>
    </row>
    <row r="147" spans="4:9" x14ac:dyDescent="0.25">
      <c r="D147" s="12"/>
      <c r="E147" s="62">
        <v>3.5000000000000022</v>
      </c>
      <c r="F147" s="42">
        <v>0.6320565629602346</v>
      </c>
      <c r="H147" s="16"/>
      <c r="I147" s="3"/>
    </row>
    <row r="148" spans="4:9" x14ac:dyDescent="0.25">
      <c r="D148" s="12"/>
      <c r="E148" s="62">
        <v>3.6000000000000023</v>
      </c>
      <c r="F148" s="42">
        <v>0.58122709867452027</v>
      </c>
      <c r="H148" s="16"/>
      <c r="I148" s="3"/>
    </row>
    <row r="149" spans="4:9" x14ac:dyDescent="0.25">
      <c r="E149" s="62">
        <v>3.7000000000000024</v>
      </c>
      <c r="F149" s="42">
        <v>0.53021990979381317</v>
      </c>
      <c r="H149" s="16"/>
      <c r="I149" s="3"/>
    </row>
    <row r="150" spans="4:9" x14ac:dyDescent="0.25">
      <c r="E150" s="62">
        <v>3.8000000000000025</v>
      </c>
      <c r="F150" s="42">
        <v>0.48142179675993996</v>
      </c>
      <c r="H150" s="16"/>
      <c r="I150" s="3"/>
    </row>
    <row r="151" spans="4:9" x14ac:dyDescent="0.25">
      <c r="E151" s="62">
        <v>3.9000000000000026</v>
      </c>
      <c r="F151" s="42">
        <v>0.4372195600147265</v>
      </c>
      <c r="H151" s="16"/>
      <c r="I151" s="3"/>
    </row>
    <row r="152" spans="4:9" x14ac:dyDescent="0.25">
      <c r="E152" s="62">
        <v>4.0000000000000027</v>
      </c>
      <c r="F152" s="42">
        <v>0.39999999999999913</v>
      </c>
      <c r="H152" s="16"/>
      <c r="I152" s="3"/>
    </row>
    <row r="153" spans="4:9" x14ac:dyDescent="0.25">
      <c r="E153" s="62">
        <v>4.1000000000000023</v>
      </c>
      <c r="F153" s="42">
        <v>0.37151296944035295</v>
      </c>
      <c r="H153" s="16"/>
      <c r="I153" s="3"/>
    </row>
    <row r="154" spans="4:9" x14ac:dyDescent="0.25">
      <c r="E154" s="62">
        <v>4.200000000000002</v>
      </c>
      <c r="F154" s="42">
        <v>0.35096053019145773</v>
      </c>
      <c r="H154" s="16"/>
      <c r="I154" s="3"/>
    </row>
    <row r="155" spans="4:9" x14ac:dyDescent="0.25">
      <c r="E155" s="62">
        <v>4.3000000000000016</v>
      </c>
      <c r="F155" s="42">
        <v>0.33690779639175239</v>
      </c>
      <c r="H155" s="16"/>
      <c r="I155" s="3"/>
    </row>
    <row r="156" spans="4:9" x14ac:dyDescent="0.25">
      <c r="E156" s="62">
        <v>4.4000000000000012</v>
      </c>
      <c r="F156" s="42">
        <v>0.32791988217967588</v>
      </c>
      <c r="H156" s="16"/>
      <c r="I156" s="3"/>
    </row>
    <row r="157" spans="4:9" x14ac:dyDescent="0.25">
      <c r="E157" s="62">
        <v>4.5000000000000009</v>
      </c>
      <c r="F157" s="42">
        <v>0.32256190169366711</v>
      </c>
      <c r="H157" s="16"/>
      <c r="I157" s="3"/>
    </row>
    <row r="158" spans="4:9" x14ac:dyDescent="0.25">
      <c r="E158" s="62">
        <v>4.6000000000000005</v>
      </c>
      <c r="F158" s="42">
        <v>0.31939896907216492</v>
      </c>
      <c r="H158" s="16"/>
      <c r="I158" s="3"/>
    </row>
    <row r="159" spans="4:9" x14ac:dyDescent="0.25">
      <c r="E159" s="62">
        <v>4.7</v>
      </c>
      <c r="F159" s="42">
        <v>0.31699619845360827</v>
      </c>
      <c r="H159" s="16"/>
      <c r="I159" s="3"/>
    </row>
    <row r="160" spans="4:9" x14ac:dyDescent="0.25">
      <c r="E160" s="62">
        <v>4.8</v>
      </c>
      <c r="F160" s="42">
        <v>0.3139187039764359</v>
      </c>
      <c r="H160" s="16"/>
      <c r="I160" s="3"/>
    </row>
    <row r="161" spans="5:9" x14ac:dyDescent="0.25">
      <c r="E161" s="62">
        <v>4.8999999999999995</v>
      </c>
      <c r="F161" s="42">
        <v>0.30873159977908687</v>
      </c>
      <c r="H161" s="16"/>
      <c r="I161" s="3"/>
    </row>
    <row r="162" spans="5:9" x14ac:dyDescent="0.25">
      <c r="E162" s="62">
        <v>4.9999999999999991</v>
      </c>
      <c r="F162" s="42">
        <v>0.30000000000000004</v>
      </c>
      <c r="H162" s="16"/>
      <c r="I162" s="3"/>
    </row>
    <row r="163" spans="5:9" x14ac:dyDescent="0.25">
      <c r="E163" s="62">
        <v>5.0999999999999988</v>
      </c>
      <c r="F163" s="42">
        <v>0.28668695692194424</v>
      </c>
      <c r="H163" s="16"/>
      <c r="I163" s="3"/>
    </row>
    <row r="164" spans="5:9" x14ac:dyDescent="0.25">
      <c r="E164" s="62">
        <v>5.1999999999999984</v>
      </c>
      <c r="F164" s="42">
        <v>0.26934727540500764</v>
      </c>
      <c r="H164" s="16"/>
      <c r="I164" s="3"/>
    </row>
    <row r="165" spans="5:9" x14ac:dyDescent="0.25">
      <c r="E165" s="62">
        <v>5.299999999999998</v>
      </c>
      <c r="F165" s="42">
        <v>0.24893369845360866</v>
      </c>
      <c r="H165" s="16"/>
      <c r="I165" s="3"/>
    </row>
    <row r="166" spans="5:9" x14ac:dyDescent="0.25">
      <c r="E166" s="62">
        <v>5.3999999999999977</v>
      </c>
      <c r="F166" s="42">
        <v>0.22639896907216547</v>
      </c>
      <c r="H166" s="16"/>
      <c r="I166" s="3"/>
    </row>
    <row r="167" spans="5:9" x14ac:dyDescent="0.25">
      <c r="E167" s="62">
        <v>5.4999999999999973</v>
      </c>
      <c r="F167" s="42">
        <v>0.20269583026509636</v>
      </c>
      <c r="H167" s="16"/>
      <c r="I167" s="3"/>
    </row>
    <row r="168" spans="5:9" x14ac:dyDescent="0.25">
      <c r="E168" s="62">
        <v>5.599999999999997</v>
      </c>
      <c r="F168" s="42">
        <v>0.17877702503681955</v>
      </c>
      <c r="H168" s="16"/>
      <c r="I168" s="3"/>
    </row>
    <row r="169" spans="5:9" x14ac:dyDescent="0.25">
      <c r="E169" s="62">
        <v>5.6999999999999966</v>
      </c>
      <c r="F169" s="42">
        <v>0.15559529639175332</v>
      </c>
      <c r="H169" s="16"/>
      <c r="I169" s="3"/>
    </row>
    <row r="170" spans="5:9" x14ac:dyDescent="0.25">
      <c r="E170" s="62">
        <v>5.7999999999999963</v>
      </c>
      <c r="F170" s="42">
        <v>0.13410338733431593</v>
      </c>
      <c r="H170" s="16"/>
      <c r="I170" s="3"/>
    </row>
    <row r="171" spans="5:9" x14ac:dyDescent="0.25">
      <c r="E171" s="62">
        <v>5.8999999999999959</v>
      </c>
      <c r="F171" s="42">
        <v>0.1152540408689256</v>
      </c>
      <c r="H171" s="16"/>
      <c r="I171" s="3"/>
    </row>
    <row r="172" spans="5:9" x14ac:dyDescent="0.25">
      <c r="E172" s="62">
        <v>5.9999999999999956</v>
      </c>
      <c r="F172" s="42">
        <v>0.10000000000000059</v>
      </c>
      <c r="H172" s="16"/>
      <c r="I172" s="3"/>
    </row>
    <row r="173" spans="5:9" x14ac:dyDescent="0.25">
      <c r="E173" s="62">
        <v>6.0999999999999952</v>
      </c>
      <c r="F173" s="42">
        <v>8.9139202871870826E-2</v>
      </c>
      <c r="H173" s="16"/>
      <c r="I173" s="3"/>
    </row>
    <row r="174" spans="5:9" x14ac:dyDescent="0.25">
      <c r="E174" s="62">
        <v>6.1999999999999948</v>
      </c>
      <c r="F174" s="42">
        <v>8.2850368188512741E-2</v>
      </c>
      <c r="H174" s="16"/>
      <c r="I174" s="3"/>
    </row>
    <row r="175" spans="5:9" x14ac:dyDescent="0.25">
      <c r="E175" s="62">
        <v>6.2999999999999945</v>
      </c>
      <c r="F175" s="42">
        <v>8.1157409793814417E-2</v>
      </c>
      <c r="H175" s="16"/>
      <c r="I175" s="3"/>
    </row>
    <row r="176" spans="5:9" x14ac:dyDescent="0.25">
      <c r="E176" s="62">
        <v>6.3999999999999941</v>
      </c>
      <c r="F176" s="42">
        <v>8.4084241531663925E-2</v>
      </c>
      <c r="H176" s="16"/>
      <c r="I176" s="3"/>
    </row>
    <row r="177" spans="5:9" x14ac:dyDescent="0.25">
      <c r="E177" s="62">
        <v>6.4999999999999938</v>
      </c>
      <c r="F177" s="42">
        <v>9.1654777245949337E-2</v>
      </c>
      <c r="H177" s="16"/>
      <c r="I177" s="3"/>
    </row>
    <row r="178" spans="5:9" x14ac:dyDescent="0.25">
      <c r="E178" s="62">
        <v>6.5999999999999934</v>
      </c>
      <c r="F178" s="42">
        <v>0.10389293078055871</v>
      </c>
      <c r="H178" s="16"/>
      <c r="I178" s="3"/>
    </row>
    <row r="179" spans="5:9" x14ac:dyDescent="0.25">
      <c r="E179" s="62">
        <v>6.6999999999999931</v>
      </c>
      <c r="F179" s="42">
        <v>0.12082261597938013</v>
      </c>
      <c r="H179" s="16"/>
      <c r="I179" s="3"/>
    </row>
    <row r="180" spans="5:9" x14ac:dyDescent="0.25">
      <c r="E180" s="62">
        <v>6.7999999999999927</v>
      </c>
      <c r="F180" s="42">
        <v>0.14246774668630163</v>
      </c>
      <c r="H180" s="16"/>
      <c r="I180" s="3"/>
    </row>
    <row r="181" spans="5:9" x14ac:dyDescent="0.25">
      <c r="E181" s="62">
        <v>6.8999999999999924</v>
      </c>
      <c r="F181" s="42">
        <v>0.16885223674521135</v>
      </c>
      <c r="H181" s="16"/>
      <c r="I181" s="3"/>
    </row>
    <row r="182" spans="5:9" x14ac:dyDescent="0.25">
      <c r="E182" s="62">
        <v>6.999999999999992</v>
      </c>
      <c r="F182" s="42">
        <v>0.19999999999999735</v>
      </c>
      <c r="H182" s="16"/>
      <c r="I182" s="3"/>
    </row>
    <row r="183" spans="5:9" x14ac:dyDescent="0.25">
      <c r="E183" s="62">
        <v>7.0999999999999917</v>
      </c>
      <c r="F183" s="42">
        <v>0.23575623159057124</v>
      </c>
      <c r="H183" s="16"/>
      <c r="I183" s="3"/>
    </row>
    <row r="184" spans="5:9" x14ac:dyDescent="0.25">
      <c r="E184" s="62">
        <v>7.1999999999999913</v>
      </c>
      <c r="F184" s="42">
        <v>0.27525125184093902</v>
      </c>
      <c r="H184" s="16"/>
      <c r="I184" s="3"/>
    </row>
    <row r="185" spans="5:9" x14ac:dyDescent="0.25">
      <c r="E185" s="62">
        <v>7.2999999999999909</v>
      </c>
      <c r="F185" s="42">
        <v>0.31743666237113011</v>
      </c>
      <c r="H185" s="16"/>
      <c r="I185" s="3"/>
    </row>
    <row r="186" spans="5:9" x14ac:dyDescent="0.25">
      <c r="E186" s="62">
        <v>7.3999999999999906</v>
      </c>
      <c r="F186" s="42">
        <v>0.36126406480117401</v>
      </c>
      <c r="H186" s="16"/>
      <c r="I186" s="3"/>
    </row>
    <row r="187" spans="5:9" x14ac:dyDescent="0.25">
      <c r="E187" s="62">
        <v>7.4999999999999902</v>
      </c>
      <c r="F187" s="42">
        <v>0.40568506075110022</v>
      </c>
      <c r="H187" s="16"/>
      <c r="I187" s="3"/>
    </row>
    <row r="188" spans="5:9" x14ac:dyDescent="0.25">
      <c r="E188" s="62">
        <v>7.5999999999999899</v>
      </c>
      <c r="F188" s="42">
        <v>0.44965125184093813</v>
      </c>
      <c r="H188" s="16"/>
      <c r="I188" s="3"/>
    </row>
    <row r="189" spans="5:9" x14ac:dyDescent="0.25">
      <c r="E189" s="62">
        <v>7.6999999999999895</v>
      </c>
      <c r="F189" s="42">
        <v>0.49211423969071733</v>
      </c>
      <c r="H189" s="16"/>
      <c r="I189" s="3"/>
    </row>
    <row r="190" spans="5:9" x14ac:dyDescent="0.25">
      <c r="E190" s="62">
        <v>7.7999999999999892</v>
      </c>
      <c r="F190" s="42">
        <v>0.53202562592046709</v>
      </c>
      <c r="H190" s="16"/>
      <c r="I190" s="3"/>
    </row>
    <row r="191" spans="5:9" x14ac:dyDescent="0.25">
      <c r="E191" s="62">
        <v>7.8999999999999888</v>
      </c>
      <c r="F191" s="42">
        <v>0.56833701215021704</v>
      </c>
      <c r="H191" s="16"/>
      <c r="I191" s="3"/>
    </row>
    <row r="192" spans="5:9" x14ac:dyDescent="0.25">
      <c r="E192" s="62">
        <v>7.9999999999999885</v>
      </c>
      <c r="F192" s="42">
        <v>0.59999999999999654</v>
      </c>
      <c r="H192" s="16"/>
      <c r="I192" s="3"/>
    </row>
    <row r="193" spans="5:9" x14ac:dyDescent="0.25">
      <c r="E193" s="62">
        <v>8.099999999999989</v>
      </c>
      <c r="F193" s="42">
        <v>0.62623587076582954</v>
      </c>
      <c r="H193" s="16"/>
      <c r="I193" s="3"/>
    </row>
    <row r="194" spans="5:9" x14ac:dyDescent="0.25">
      <c r="E194" s="62">
        <v>8.1999999999999886</v>
      </c>
      <c r="F194" s="42">
        <v>0.64734462444771512</v>
      </c>
      <c r="H194" s="16"/>
      <c r="I194" s="3"/>
    </row>
    <row r="195" spans="5:9" x14ac:dyDescent="0.25">
      <c r="E195" s="62">
        <v>8.2999999999999883</v>
      </c>
      <c r="F195" s="42">
        <v>0.66389594072164781</v>
      </c>
      <c r="H195" s="16"/>
      <c r="I195" s="3"/>
    </row>
    <row r="196" spans="5:9" x14ac:dyDescent="0.25">
      <c r="E196" s="62">
        <v>8.3999999999999879</v>
      </c>
      <c r="F196" s="42">
        <v>0.6764594992636217</v>
      </c>
      <c r="H196" s="16"/>
      <c r="I196" s="3"/>
    </row>
    <row r="197" spans="5:9" x14ac:dyDescent="0.25">
      <c r="E197" s="62">
        <v>8.4999999999999876</v>
      </c>
      <c r="F197" s="42">
        <v>0.68560497974963086</v>
      </c>
      <c r="H197" s="16"/>
      <c r="I197" s="3"/>
    </row>
    <row r="198" spans="5:9" x14ac:dyDescent="0.25">
      <c r="E198" s="62">
        <v>8.5999999999999872</v>
      </c>
      <c r="F198" s="42">
        <v>0.69190206185566938</v>
      </c>
      <c r="H198" s="16"/>
      <c r="I198" s="3"/>
    </row>
    <row r="199" spans="5:9" x14ac:dyDescent="0.25">
      <c r="E199" s="62">
        <v>8.6999999999999869</v>
      </c>
      <c r="F199" s="42">
        <v>0.69592042525773157</v>
      </c>
      <c r="H199" s="16"/>
      <c r="I199" s="3"/>
    </row>
    <row r="200" spans="5:9" x14ac:dyDescent="0.25">
      <c r="E200" s="62">
        <v>8.7999999999999865</v>
      </c>
      <c r="F200" s="42">
        <v>0.69822974963181128</v>
      </c>
      <c r="H200" s="16"/>
      <c r="I200" s="3"/>
    </row>
    <row r="201" spans="5:9" x14ac:dyDescent="0.25">
      <c r="E201" s="35">
        <v>8.8999999999999861</v>
      </c>
      <c r="F201" s="45">
        <v>0.6993997146539026</v>
      </c>
      <c r="H201" s="16"/>
      <c r="I201" s="3"/>
    </row>
    <row r="202" spans="5:9" x14ac:dyDescent="0.25">
      <c r="H202" s="16"/>
      <c r="I202" s="3"/>
    </row>
    <row r="203" spans="5:9" x14ac:dyDescent="0.25">
      <c r="H203" s="16"/>
      <c r="I203" s="3"/>
    </row>
    <row r="204" spans="5:9" x14ac:dyDescent="0.25">
      <c r="H204" s="16"/>
      <c r="I204" s="3"/>
    </row>
    <row r="205" spans="5:9" x14ac:dyDescent="0.25">
      <c r="H205" s="16"/>
      <c r="I205" s="3"/>
    </row>
    <row r="206" spans="5:9" x14ac:dyDescent="0.25">
      <c r="H206" s="16"/>
      <c r="I206" s="3"/>
    </row>
    <row r="207" spans="5:9" x14ac:dyDescent="0.25">
      <c r="H207" s="16"/>
      <c r="I207" s="3"/>
    </row>
    <row r="208" spans="5:9" x14ac:dyDescent="0.25">
      <c r="H208" s="16"/>
      <c r="I208" s="3"/>
    </row>
    <row r="209" spans="8:9" x14ac:dyDescent="0.25">
      <c r="H209" s="16"/>
      <c r="I209" s="3"/>
    </row>
    <row r="210" spans="8:9" x14ac:dyDescent="0.25">
      <c r="H210" s="16"/>
      <c r="I210" s="3"/>
    </row>
    <row r="211" spans="8:9" x14ac:dyDescent="0.25">
      <c r="H211" s="16"/>
      <c r="I211" s="3"/>
    </row>
    <row r="212" spans="8:9" x14ac:dyDescent="0.25">
      <c r="H212" s="16"/>
      <c r="I212" s="3"/>
    </row>
    <row r="213" spans="8:9" x14ac:dyDescent="0.25">
      <c r="H213" s="16"/>
      <c r="I213" s="3"/>
    </row>
    <row r="214" spans="8:9" x14ac:dyDescent="0.25">
      <c r="H214" s="16"/>
      <c r="I214" s="3"/>
    </row>
    <row r="215" spans="8:9" x14ac:dyDescent="0.25">
      <c r="H215" s="16"/>
      <c r="I215" s="3"/>
    </row>
    <row r="216" spans="8:9" x14ac:dyDescent="0.25">
      <c r="H216" s="16"/>
      <c r="I216" s="3"/>
    </row>
    <row r="217" spans="8:9" x14ac:dyDescent="0.25">
      <c r="H217" s="16"/>
      <c r="I217" s="3"/>
    </row>
    <row r="218" spans="8:9" x14ac:dyDescent="0.25">
      <c r="H218" s="16"/>
      <c r="I218" s="3"/>
    </row>
    <row r="219" spans="8:9" x14ac:dyDescent="0.25">
      <c r="H219" s="16"/>
      <c r="I219" s="3"/>
    </row>
    <row r="220" spans="8:9" x14ac:dyDescent="0.25">
      <c r="H220" s="16"/>
      <c r="I220" s="3"/>
    </row>
    <row r="221" spans="8:9" x14ac:dyDescent="0.25">
      <c r="H221" s="16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>1/((1+K4)^(L4/252))</f>
        <v>0.94698901788845258</v>
      </c>
      <c r="N4" s="9">
        <f>1/((1+G4)^J4)</f>
        <v>1</v>
      </c>
      <c r="O4" s="5">
        <f>LN(N4/M4)/J4</f>
        <v>0.14006001240514271</v>
      </c>
      <c r="P4" s="7">
        <f>(LN(C4/F4) + (O4 + (H4^2)/2)*J4) / (H4*SQRT(J4))</f>
        <v>0.44791532627007996</v>
      </c>
      <c r="Q4" s="7">
        <f>P4-H4*SQRT(J4)</f>
        <v>0.29768778219110625</v>
      </c>
      <c r="R4">
        <f>IF(D4="C",1,-1)</f>
        <v>1</v>
      </c>
      <c r="S4" s="10">
        <f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>(_xlfn.NORM.S.DIST(P4,FALSE)/(C4*H4*SQRT(J4)))*N4</f>
        <v>7.3797841347946203E-2</v>
      </c>
      <c r="V4" s="12">
        <f>_xlfn.NORM.S.DIST(P4,FALSE)*C4*SQRT(J4)*N4</f>
        <v>7.3250059066811817</v>
      </c>
      <c r="W4" s="13">
        <f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>I5/252</f>
        <v>0.3888888888888889</v>
      </c>
      <c r="K5" s="8">
        <v>0.14712500000000001</v>
      </c>
      <c r="L5" s="6" cm="1">
        <f t="array" ref="L5">BRISTO.BDAYS(B5,E5,holiday_br[])</f>
        <v>100</v>
      </c>
      <c r="M5" s="9">
        <f>1/((1+K5)^(L5/252))</f>
        <v>0.94698901788845258</v>
      </c>
      <c r="N5" s="9">
        <f>1/((1+G5)^J5)</f>
        <v>1</v>
      </c>
      <c r="O5" s="5">
        <f>LN(N5/M5)/J5</f>
        <v>0.14006001240514271</v>
      </c>
      <c r="P5" s="7">
        <f>(LN(C5/F5) + (O5 + (H5^2)/2)*J5) / (H5*SQRT(J5))</f>
        <v>-0.94825206878691815</v>
      </c>
      <c r="Q5" s="7">
        <f>P5-H5*SQRT(J5)</f>
        <v>-1.1078337563328267</v>
      </c>
      <c r="R5">
        <f>IF(D5="C",1,-1)</f>
        <v>-1</v>
      </c>
      <c r="S5" s="10">
        <f>(C5*_xlfn.NORM.S.DIST(P5*R5, TRUE)*R5 - F5*EXP(-O5*J5)*_xlfn.NORM.S.DIST(Q5*R5, TRUE)*R5)*N5</f>
        <v>6.2473624302637525</v>
      </c>
      <c r="T5" s="11">
        <f>(_xlfn.NORM.S.DIST(P5, TRUE)-IF(D5="P",1,0))*N5</f>
        <v>-0.82849942725574399</v>
      </c>
      <c r="U5" s="5">
        <f>(_xlfn.NORM.S.DIST(P5,FALSE)/(C5*H5*SQRT(J5)))*N5</f>
        <v>4.8991544616826962E-2</v>
      </c>
      <c r="V5" s="12">
        <f>_xlfn.NORM.S.DIST(P5,FALSE)*C5*SQRT(J5)*N5</f>
        <v>5.1655781791054469</v>
      </c>
      <c r="W5" s="13">
        <f>(-C5*_xlfn.NORM.S.DIST(P5,FALSE)*H5/(2*SQRT(J5))-R5*O5*F5*EXP(-O5*J5)*_xlfn.NORM.S.DIST(Q5*R5,TRUE))/252</f>
        <v>1.1716456065499861E-2</v>
      </c>
      <c r="X5" s="13">
        <v>5.4032</v>
      </c>
      <c r="Y5" s="6">
        <v>1000000</v>
      </c>
      <c r="Z5" s="3">
        <f>Y5*U5*C5*1%*C5/X5</f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>I6/252</f>
        <v>0.3888888888888889</v>
      </c>
      <c r="K6" s="8">
        <v>0.14712500000000001</v>
      </c>
      <c r="L6" s="6" cm="1">
        <f t="array" ref="L6">BRISTO.BDAYS(B6,E6,holiday_br[])</f>
        <v>100</v>
      </c>
      <c r="M6" s="9">
        <f>1/((1+K6)^(L6/252))</f>
        <v>0.94698901788845258</v>
      </c>
      <c r="N6" s="9">
        <f>1/((1+G6)^J6)</f>
        <v>0.98120491961691236</v>
      </c>
      <c r="O6" s="5">
        <f>LN(N6/M6)/J6</f>
        <v>9.1269848235710271E-2</v>
      </c>
      <c r="P6" s="7">
        <f>(LN(C6/F6) + (O6 + (H6^2)/2)*J6) / (H6*SQRT(J6))</f>
        <v>-1.0671501267304313</v>
      </c>
      <c r="Q6" s="7">
        <f>P6-H6*SQRT(J6)</f>
        <v>-1.2267318142763399</v>
      </c>
      <c r="R6">
        <f>IF(D6="C",1,-1)</f>
        <v>1</v>
      </c>
      <c r="S6" s="10">
        <f>(C6*_xlfn.NORM.S.DIST(P6*R6, TRUE)*R6 - F6*EXP(-O6*J6)*_xlfn.NORM.S.DIST(Q6*R6, TRUE)*R6)*N6</f>
        <v>0.34826596459266523</v>
      </c>
      <c r="T6" s="11">
        <f>(_xlfn.NORM.S.DIST(P6, TRUE)-IF(D6="P",1,0))*N6</f>
        <v>0.14026522989850662</v>
      </c>
      <c r="U6" s="5">
        <f>(_xlfn.NORM.S.DIST(P6,FALSE)/(C6*H6*SQRT(J6)))*N6</f>
        <v>4.2642869268756892E-2</v>
      </c>
      <c r="V6" s="12">
        <f>_xlfn.NORM.S.DIST(P6,FALSE)*C6*SQRT(J6)*N6</f>
        <v>4.4961855502200221</v>
      </c>
      <c r="W6" s="13">
        <f>(-C6*_xlfn.NORM.S.DIST(P6,FALSE)*H6/(2*SQRT(J6))-R6*O6*F6*EXP(-O6*J6)*_xlfn.NORM.S.DIST(Q6*R6,TRUE))/252</f>
        <v>-7.539433415031823E-3</v>
      </c>
      <c r="X6" s="13">
        <v>5.4032</v>
      </c>
      <c r="Y6" s="6">
        <v>1000000</v>
      </c>
      <c r="Z6" s="3">
        <f>Y6*U6*C6*1%*C6/X6</f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61" t="s">
        <v>33</v>
      </c>
      <c r="AD8" s="61"/>
      <c r="AE8" s="61"/>
      <c r="AF8" s="61"/>
      <c r="AG8" s="61" t="s">
        <v>34</v>
      </c>
      <c r="AH8" s="61"/>
      <c r="AI8" s="61"/>
      <c r="AJ8" s="61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>1/((1+K11)^(L11/252))</f>
        <v>0.94750496230696735</v>
      </c>
      <c r="N11" s="9">
        <f>1/((1+G11)^J11)</f>
        <v>1</v>
      </c>
      <c r="O11" s="5">
        <f>LN(N11/M11)/J11</f>
        <v>0.14008889075821601</v>
      </c>
      <c r="P11" s="7">
        <f>(LN(C11/F11) + (O11 + (H11^2)/2)*J11) / (H11*SQRT(J11))</f>
        <v>0.44580351355506143</v>
      </c>
      <c r="Q11" s="7">
        <f>P11-H11*SQRT(J11)</f>
        <v>0.29634440185079436</v>
      </c>
      <c r="R11">
        <f>IF(D11="C",1,-1)</f>
        <v>1</v>
      </c>
      <c r="S11" s="10">
        <f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>(_xlfn.NORM.S.DIST(P11,FALSE)/(C11*H11*SQRT(J11)))*N11</f>
        <v>7.4247300093100654E-2</v>
      </c>
      <c r="V11" s="12">
        <f>_xlfn.NORM.S.DIST(P11,FALSE)*C11*SQRT(J11)*N11</f>
        <v>7.294417974297807</v>
      </c>
      <c r="W11" s="13">
        <f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>AJ11/AF11</f>
        <v>1.0106380942474968</v>
      </c>
      <c r="AL11" s="6">
        <v>11</v>
      </c>
      <c r="AM11">
        <f>AK11^(AL11/(AH11-AD11))</f>
        <v>1.0058370187089534</v>
      </c>
      <c r="AN11">
        <f>AM11*AF11</f>
        <v>1.055423288627489</v>
      </c>
      <c r="AO11" s="15">
        <f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>I12/252</f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>1/((1+K12)^(L12/252))</f>
        <v>0.94750496230696735</v>
      </c>
      <c r="N12" s="9">
        <f>1/((1+G12)^J12)</f>
        <v>1</v>
      </c>
      <c r="O12" s="5">
        <f>LN(N12/M12)/J12</f>
        <v>0.14008889075821601</v>
      </c>
      <c r="P12" s="7">
        <f>(LN(C12/F12) + (O12 + (H12^2)/2)*J12) / (H12*SQRT(J12))</f>
        <v>-0.95737651974025684</v>
      </c>
      <c r="Q12" s="7">
        <f>P12-H12*SQRT(J12)</f>
        <v>-1.1161419273165205</v>
      </c>
      <c r="R12">
        <f>IF(D12="C",1,-1)</f>
        <v>-1</v>
      </c>
      <c r="S12" s="10">
        <f>(C12*_xlfn.NORM.S.DIST(P12*R12, TRUE)*R12 - F12*EXP(-O12*J12)*_xlfn.NORM.S.DIST(Q12*R12, TRUE)*R12)*N12</f>
        <v>6.2587451778959569</v>
      </c>
      <c r="T12" s="11">
        <f>(_xlfn.NORM.S.DIST(P12, TRUE)-IF(D12="P",1,0))*N12</f>
        <v>-0.83081137728197585</v>
      </c>
      <c r="U12" s="5">
        <f>(_xlfn.NORM.S.DIST(P12,FALSE)/(C12*H12*SQRT(J12)))*N12</f>
        <v>4.8817168629682439E-2</v>
      </c>
      <c r="V12" s="12">
        <f>_xlfn.NORM.S.DIST(P12,FALSE)*C12*SQRT(J12)*N12</f>
        <v>5.0946699260029131</v>
      </c>
      <c r="W12" s="13">
        <f>(-C12*_xlfn.NORM.S.DIST(P12,FALSE)*H12/(2*SQRT(J12))-R12*O12*F12*EXP(-O12*J12)*_xlfn.NORM.S.DIST(Q12*R12,TRUE))/252</f>
        <v>1.1792429300642055E-2</v>
      </c>
      <c r="X12" s="13">
        <v>5.4032</v>
      </c>
      <c r="Y12" s="6">
        <v>1000000</v>
      </c>
      <c r="Z12" s="3">
        <f>Y12*U12*C12*1%*C12/X12</f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>AJ12/AF12</f>
        <v>1.0106380942474968</v>
      </c>
      <c r="AL12" s="6">
        <v>11</v>
      </c>
      <c r="AM12">
        <f>AK12^(AL12/(AH12-AD12))</f>
        <v>1.0058370187089534</v>
      </c>
      <c r="AN12">
        <f>AM12*AF12</f>
        <v>1.055423288627489</v>
      </c>
      <c r="AO12" s="15">
        <f>AN12^(252/(AD12+AL12))-1</f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>E12</f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>I13/252</f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>1/((1+K13)^(L13/252))</f>
        <v>0.94750496230696735</v>
      </c>
      <c r="N13" s="9">
        <f>1/((1+G13)^J13)</f>
        <v>0.9813949108225215</v>
      </c>
      <c r="O13" s="5">
        <f>LN(N13/M13)/J13</f>
        <v>9.1298726588784296E-2</v>
      </c>
      <c r="P13" s="7">
        <f>(LN(C13/F13) + (O13 + (H13^2)/2)*J13) / (H13*SQRT(J13))</f>
        <v>-1.075666399485997</v>
      </c>
      <c r="Q13" s="7">
        <f>P13-H13*SQRT(J13)</f>
        <v>-1.2344318070622606</v>
      </c>
      <c r="R13">
        <f>IF(D13="C",1,-1)</f>
        <v>1</v>
      </c>
      <c r="S13" s="10">
        <f>(C13*_xlfn.NORM.S.DIST(P13*R13, TRUE)*R13 - F13*EXP(-O13*J13)*_xlfn.NORM.S.DIST(Q13*R13, TRUE)*R13)*N13</f>
        <v>0.34100220759256172</v>
      </c>
      <c r="T13" s="11">
        <f>(_xlfn.NORM.S.DIST(P13, TRUE)-IF(D13="P",1,0))*N13</f>
        <v>0.13841421085583885</v>
      </c>
      <c r="U13" s="5">
        <f>(_xlfn.NORM.S.DIST(P13,FALSE)/(C13*H13*SQRT(J13)))*N13</f>
        <v>4.2481025821467039E-2</v>
      </c>
      <c r="V13" s="12">
        <f>_xlfn.NORM.S.DIST(P13,FALSE)*C13*SQRT(J13)*N13</f>
        <v>4.433415758299156</v>
      </c>
      <c r="W13" s="13">
        <f>(-C13*_xlfn.NORM.S.DIST(P13,FALSE)*H13/(2*SQRT(J13))-R13*O13*F13*EXP(-O13*J13)*_xlfn.NORM.S.DIST(Q13*R13,TRUE))/252</f>
        <v>-7.4962034251280967E-3</v>
      </c>
      <c r="X13" s="13">
        <v>5.4032</v>
      </c>
      <c r="Y13" s="6">
        <v>1000000</v>
      </c>
      <c r="Z13" s="3">
        <f>Y13*U13*C13*1%*C13/X13</f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>AJ13/AF13</f>
        <v>1.0106380942474968</v>
      </c>
      <c r="AL13" s="6">
        <v>11</v>
      </c>
      <c r="AM13">
        <f>AK13^(AL13/(AH13-AD13))</f>
        <v>1.0058370187089534</v>
      </c>
      <c r="AN13">
        <f>AM13*AF13</f>
        <v>1.055423288627489</v>
      </c>
      <c r="AO13" s="15">
        <f>AN13^(252/(AD13+AL13))-1</f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>1/((1+K18)^(L18/252))</f>
        <v>0.94698901788845258</v>
      </c>
      <c r="N18" s="9">
        <f>1/((1+G18)^J18)</f>
        <v>1</v>
      </c>
      <c r="O18" s="5">
        <f>LN(N18/M18)/J18</f>
        <v>0.14006001240514271</v>
      </c>
      <c r="P18" s="7">
        <f>(LN(C18/F18) + (O18 + (H18^2)/2)*J18) / (H18*SQRT(J18))</f>
        <v>0.44791532627007996</v>
      </c>
      <c r="Q18" s="7">
        <f>P18-H18*SQRT(J18)</f>
        <v>0.29768778219110625</v>
      </c>
      <c r="R18">
        <f>IF(D18="C",1,-1)</f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>1/((1+K19)^(L19/252))</f>
        <v>0.94698901788845258</v>
      </c>
      <c r="N19" s="9">
        <f>1/((1+G19)^J19)</f>
        <v>1</v>
      </c>
      <c r="O19" s="5">
        <f>LN(N19/M19)/J19</f>
        <v>0.14006001240514271</v>
      </c>
      <c r="P19" s="7">
        <f>(LN(C19/F19) + (O19 + (H19^2)/2)*J19) / (H19*SQRT(J19))</f>
        <v>-0.94825206878691815</v>
      </c>
      <c r="Q19" s="7">
        <f>P19-H19*SQRT(J19)</f>
        <v>-1.1078337563328267</v>
      </c>
      <c r="R19">
        <f>IF(D19="C",1,-1)</f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>Y19*U19*C19*1%*C19/X19</f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>AB19-H19</f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>1/((1+K20)^(L20/252))</f>
        <v>0.94698901788845258</v>
      </c>
      <c r="N20" s="9">
        <f>1/((1+G20)^J20)</f>
        <v>0.98120491961691236</v>
      </c>
      <c r="O20" s="5">
        <f>LN(N20/M20)/J20</f>
        <v>9.1269848235710271E-2</v>
      </c>
      <c r="P20" s="7">
        <f>(LN(C20/F20) + (O20 + (H20^2)/2)*J20) / (H20*SQRT(J20))</f>
        <v>-1.0671501267304313</v>
      </c>
      <c r="Q20" s="7">
        <f>P20-H20*SQRT(J20)</f>
        <v>-1.2267318142763399</v>
      </c>
      <c r="R20">
        <f>IF(D20="C",1,-1)</f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>Y20*U20*C20*1%*C20/X20</f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>AB20-H20</f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0">S3-S17</f>
        <v>1.7763568394002505E-15</v>
      </c>
      <c r="T22" s="13">
        <f t="shared" si="0"/>
        <v>0</v>
      </c>
      <c r="U22" s="13">
        <f t="shared" si="0"/>
        <v>0</v>
      </c>
      <c r="V22" s="13">
        <f t="shared" si="0"/>
        <v>0</v>
      </c>
      <c r="W22" s="13">
        <f t="shared" si="0"/>
        <v>0</v>
      </c>
      <c r="X22" s="13">
        <f t="shared" si="0"/>
        <v>0</v>
      </c>
      <c r="Y22" s="13">
        <f t="shared" si="0"/>
        <v>0</v>
      </c>
      <c r="Z22" s="13">
        <f t="shared" si="0"/>
        <v>0</v>
      </c>
      <c r="AA22" s="13">
        <f t="shared" si="0"/>
        <v>0</v>
      </c>
    </row>
    <row r="23" spans="1:29" x14ac:dyDescent="0.25">
      <c r="S23" s="13">
        <f t="shared" ref="S23:AA23" si="1">S4-S18</f>
        <v>0</v>
      </c>
      <c r="T23" s="13">
        <f t="shared" si="1"/>
        <v>0</v>
      </c>
      <c r="U23" s="13">
        <f t="shared" si="1"/>
        <v>0</v>
      </c>
      <c r="V23" s="13">
        <f t="shared" si="1"/>
        <v>0</v>
      </c>
      <c r="W23" s="13">
        <f t="shared" si="1"/>
        <v>0</v>
      </c>
      <c r="X23" s="13">
        <f t="shared" si="1"/>
        <v>0</v>
      </c>
      <c r="Y23" s="13">
        <f t="shared" si="1"/>
        <v>0</v>
      </c>
      <c r="Z23" s="13">
        <f t="shared" si="1"/>
        <v>0</v>
      </c>
      <c r="AA23" s="13">
        <f t="shared" si="1"/>
        <v>0</v>
      </c>
    </row>
    <row r="24" spans="1:29" x14ac:dyDescent="0.25">
      <c r="S24" s="13">
        <f t="shared" ref="S24:AA24" si="2">S5-S19</f>
        <v>0</v>
      </c>
      <c r="T24" s="13">
        <f t="shared" si="2"/>
        <v>0</v>
      </c>
      <c r="U24" s="13">
        <f t="shared" si="2"/>
        <v>0</v>
      </c>
      <c r="V24" s="13">
        <f t="shared" si="2"/>
        <v>0</v>
      </c>
      <c r="W24" s="13">
        <f t="shared" si="2"/>
        <v>0</v>
      </c>
      <c r="X24" s="13">
        <f t="shared" si="2"/>
        <v>0</v>
      </c>
      <c r="Y24" s="13">
        <f t="shared" si="2"/>
        <v>0</v>
      </c>
      <c r="Z24" s="13">
        <f t="shared" si="2"/>
        <v>0</v>
      </c>
      <c r="AA24" s="13">
        <f t="shared" si="2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3">S6-S20</f>
        <v>0</v>
      </c>
      <c r="T25" s="13">
        <f t="shared" si="3"/>
        <v>0</v>
      </c>
      <c r="U25" s="13">
        <f t="shared" si="3"/>
        <v>0</v>
      </c>
      <c r="V25" s="13">
        <f t="shared" si="3"/>
        <v>0</v>
      </c>
      <c r="W25" s="13">
        <f t="shared" si="3"/>
        <v>0</v>
      </c>
      <c r="X25" s="13">
        <f t="shared" si="3"/>
        <v>0</v>
      </c>
      <c r="Y25" s="13">
        <f t="shared" si="3"/>
        <v>0</v>
      </c>
      <c r="Z25" s="13">
        <f t="shared" si="3"/>
        <v>0</v>
      </c>
      <c r="AA25" s="13">
        <f t="shared" si="3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">EOMONTH(F27,E27-1)+1</f>
        <v>46023</v>
      </c>
      <c r="H27" t="str">
        <f t="shared" ref="H27:H35" si="5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6">K27/252</f>
        <v>0.10714285714285714</v>
      </c>
      <c r="M27">
        <f t="shared" ref="M27:M35" si="7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8">C27+1</f>
        <v>3</v>
      </c>
      <c r="E28">
        <f t="shared" ref="E28:E35" si="9">E27+1</f>
        <v>3</v>
      </c>
      <c r="F28" s="2">
        <v>45982</v>
      </c>
      <c r="G28" s="2">
        <f t="shared" si="4"/>
        <v>46054</v>
      </c>
      <c r="H28" t="str">
        <f t="shared" si="5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6"/>
        <v>0.19047619047619047</v>
      </c>
      <c r="M28">
        <f t="shared" si="7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8"/>
        <v>4</v>
      </c>
      <c r="E29">
        <f t="shared" si="9"/>
        <v>4</v>
      </c>
      <c r="F29" s="2">
        <v>45982</v>
      </c>
      <c r="G29" s="2">
        <f t="shared" si="4"/>
        <v>46082</v>
      </c>
      <c r="H29" t="str">
        <f t="shared" si="5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6"/>
        <v>0.26190476190476192</v>
      </c>
      <c r="M29">
        <f t="shared" si="7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8"/>
        <v>5</v>
      </c>
      <c r="E30">
        <f t="shared" si="9"/>
        <v>5</v>
      </c>
      <c r="F30" s="2">
        <v>45982</v>
      </c>
      <c r="G30" s="2">
        <f t="shared" si="4"/>
        <v>46113</v>
      </c>
      <c r="H30" t="str">
        <f t="shared" si="5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6"/>
        <v>0.34920634920634919</v>
      </c>
      <c r="M30">
        <f t="shared" si="7"/>
        <v>1.0492985135724895</v>
      </c>
      <c r="S30" s="5"/>
    </row>
    <row r="31" spans="1:29" x14ac:dyDescent="0.25">
      <c r="B31" t="s">
        <v>50</v>
      </c>
      <c r="C31">
        <f t="shared" si="8"/>
        <v>6</v>
      </c>
      <c r="E31">
        <f t="shared" si="9"/>
        <v>6</v>
      </c>
      <c r="F31" s="2">
        <v>45982</v>
      </c>
      <c r="G31" s="2">
        <f t="shared" si="4"/>
        <v>46143</v>
      </c>
      <c r="H31" t="str">
        <f t="shared" si="5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6"/>
        <v>0.42857142857142855</v>
      </c>
      <c r="M31">
        <f t="shared" si="7"/>
        <v>1.060461050053632</v>
      </c>
    </row>
    <row r="32" spans="1:29" x14ac:dyDescent="0.25">
      <c r="B32" t="s">
        <v>51</v>
      </c>
      <c r="C32">
        <f t="shared" si="8"/>
        <v>7</v>
      </c>
      <c r="E32">
        <f t="shared" si="9"/>
        <v>7</v>
      </c>
      <c r="F32" s="2">
        <v>45982</v>
      </c>
      <c r="G32" s="2">
        <f t="shared" si="4"/>
        <v>46174</v>
      </c>
      <c r="H32" t="str">
        <f t="shared" si="5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6"/>
        <v>0.50793650793650791</v>
      </c>
      <c r="M32">
        <f t="shared" si="7"/>
        <v>1.0713873233723397</v>
      </c>
    </row>
    <row r="33" spans="2:19" x14ac:dyDescent="0.25">
      <c r="B33" t="s">
        <v>52</v>
      </c>
      <c r="C33">
        <f t="shared" si="8"/>
        <v>8</v>
      </c>
      <c r="E33">
        <f t="shared" si="9"/>
        <v>8</v>
      </c>
      <c r="F33" s="2">
        <v>45982</v>
      </c>
      <c r="G33" s="2">
        <f t="shared" si="4"/>
        <v>46204</v>
      </c>
      <c r="H33" t="str">
        <f t="shared" si="5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6"/>
        <v>0.59126984126984128</v>
      </c>
      <c r="M33">
        <f t="shared" si="7"/>
        <v>1.0828772091264154</v>
      </c>
      <c r="S33" s="5"/>
    </row>
    <row r="34" spans="2:19" x14ac:dyDescent="0.25">
      <c r="B34" t="s">
        <v>53</v>
      </c>
      <c r="C34">
        <f t="shared" si="8"/>
        <v>9</v>
      </c>
      <c r="E34">
        <f t="shared" si="9"/>
        <v>9</v>
      </c>
      <c r="F34" s="2">
        <v>45982</v>
      </c>
      <c r="G34" s="2">
        <f t="shared" si="4"/>
        <v>46235</v>
      </c>
      <c r="H34" t="str">
        <f t="shared" si="5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6"/>
        <v>0.68253968253968256</v>
      </c>
      <c r="M34">
        <f t="shared" si="7"/>
        <v>1.0953854894705597</v>
      </c>
    </row>
    <row r="35" spans="2:19" x14ac:dyDescent="0.25">
      <c r="B35" t="s">
        <v>54</v>
      </c>
      <c r="C35">
        <f t="shared" si="8"/>
        <v>10</v>
      </c>
      <c r="E35">
        <f t="shared" si="9"/>
        <v>10</v>
      </c>
      <c r="F35" s="2">
        <v>45982</v>
      </c>
      <c r="G35" s="2">
        <f t="shared" si="4"/>
        <v>46266</v>
      </c>
      <c r="H35" t="str">
        <f t="shared" si="5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6"/>
        <v>0.76587301587301593</v>
      </c>
      <c r="M35">
        <f t="shared" si="7"/>
        <v>1.1065985921458159</v>
      </c>
    </row>
    <row r="36" spans="2:19" x14ac:dyDescent="0.25">
      <c r="B36" t="s">
        <v>55</v>
      </c>
      <c r="C36">
        <f t="shared" si="8"/>
        <v>11</v>
      </c>
    </row>
    <row r="37" spans="2:19" x14ac:dyDescent="0.25">
      <c r="B37" t="s">
        <v>56</v>
      </c>
      <c r="C37">
        <f t="shared" si="8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>1/((1+K7)^(L7/252))</f>
        <v>0.85855048760221409</v>
      </c>
      <c r="N7" s="9">
        <f>1/((1+G7)^J7)</f>
        <v>1</v>
      </c>
      <c r="O7" s="5">
        <f>LN(N7/M7)/J7</f>
        <v>0.13924807030424352</v>
      </c>
      <c r="P7" s="12">
        <f>(LN(C7/F7) + (O7 + (H7^2)/2)*J7) / (H7*SQRT(J7))</f>
        <v>1.616089319151621</v>
      </c>
      <c r="Q7" s="12">
        <f>P7-H7*SQRT(J7)</f>
        <v>1.3639787396716747</v>
      </c>
      <c r="R7">
        <f>IF(D7="C",1,-1)</f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>Y7*S7</f>
        <v>-143724417.00441197</v>
      </c>
      <c r="AA7" s="3">
        <f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>I8/252</f>
        <v>1.0952380952380953</v>
      </c>
      <c r="K8" s="8">
        <v>0.14712500000000001</v>
      </c>
      <c r="L8" s="6" cm="1">
        <f t="array" ref="L8">BRISTO.BDAYS(B8,E8,holiday_br[])</f>
        <v>280</v>
      </c>
      <c r="M8" s="9">
        <f>1/((1+K8)^(L8/252))</f>
        <v>0.85855048760221409</v>
      </c>
      <c r="N8" s="9">
        <f>1/((1+G8)^J8)</f>
        <v>1</v>
      </c>
      <c r="O8" s="5">
        <f>LN(N8/M8)/J8</f>
        <v>0.13924807030424352</v>
      </c>
      <c r="P8" s="12">
        <f>(LN(C8/F8) + (O8 + (H8^2)/2)*J8) / (H8*SQRT(J8))</f>
        <v>2.258688950650108E-2</v>
      </c>
      <c r="Q8" s="12">
        <f>P8-H8*SQRT(J8)</f>
        <v>-0.2452217335276137</v>
      </c>
      <c r="R8">
        <f>IF(D8="C",1,-1)</f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>Y8*S8</f>
        <v>-55768043.479635417</v>
      </c>
      <c r="AA8" s="3">
        <f>Y8*U8*C8*1%*C8/X8</f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>AC8-H8</f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>I9/252</f>
        <v>1.0952380952380953</v>
      </c>
      <c r="K9" s="8">
        <v>0.14712500000000001</v>
      </c>
      <c r="L9" s="6" cm="1">
        <f t="array" ref="L9">BRISTO.BDAYS(B9,E9,holiday_br[])</f>
        <v>280</v>
      </c>
      <c r="M9" s="9">
        <f>1/((1+K9)^(L9/252))</f>
        <v>0.85855048760221409</v>
      </c>
      <c r="N9" s="9">
        <f>1/((1+G9)^J9)</f>
        <v>1</v>
      </c>
      <c r="O9" s="5">
        <f>LN(N9/M9)/J9</f>
        <v>0.13924807030424352</v>
      </c>
      <c r="P9" s="12">
        <f>(LN(C9/F9) + (O9 + (H9^2)/2)*J9) / (H9*SQRT(J9))</f>
        <v>2.258688950650108E-2</v>
      </c>
      <c r="Q9" s="12">
        <f>P9-H9*SQRT(J9)</f>
        <v>-0.2452217335276137</v>
      </c>
      <c r="R9">
        <f>IF(D9="C",1,-1)</f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>Y9*S9</f>
        <v>42150780.174439773</v>
      </c>
      <c r="AA9" s="3">
        <f>Y9*U9*C9*1%*C9/X9</f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>AC9-H9</f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>MAX(0,(F7-C14)*R7)</f>
        <v>50</v>
      </c>
      <c r="E14" s="6">
        <f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>MAX(0,(F8-C15)*R8)</f>
        <v>0</v>
      </c>
      <c r="E15" s="6">
        <f>D15*Y8</f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>MAX(0,(F9-C16)*R9)</f>
        <v>90</v>
      </c>
      <c r="E16" s="6">
        <f>D16*Y9</f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>1/(((1+K27)^(L27/252))*((1+$M$23)^(L27/252)))</f>
        <v>0.85291468158911843</v>
      </c>
      <c r="N27" s="9">
        <f>1/((1+G27)^J27)</f>
        <v>1</v>
      </c>
      <c r="O27" s="5">
        <f>LN(N27/M27)/J27</f>
        <v>0.14526134433083895</v>
      </c>
      <c r="P27" s="12">
        <f>(LN(C27/F27) + (O27 + (H27^2)/2)*J27) / (H27*SQRT(J27))</f>
        <v>1.6422126448947083</v>
      </c>
      <c r="Q27" s="12">
        <f>P27-H27*SQRT(J27)</f>
        <v>1.390102065414762</v>
      </c>
      <c r="R27">
        <f>IF(D27="C",1,-1)</f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>Y27*S27</f>
        <v>-145582356.64301029</v>
      </c>
      <c r="AA27" s="3">
        <f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>I28/252</f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>1/(((1+K28)^(L28/252))*((1+$M$23)^(L28/252)))</f>
        <v>0.85291468158911843</v>
      </c>
      <c r="N28" s="9">
        <f>1/((1+G28)^J28)</f>
        <v>1</v>
      </c>
      <c r="O28" s="5">
        <f>LN(N28/M28)/J28</f>
        <v>0.14526134433083895</v>
      </c>
      <c r="P28" s="12">
        <f>(LN(C28/F28) + (O28 + (H28^2)/2)*J28) / (H28*SQRT(J28))</f>
        <v>4.717895348270152E-2</v>
      </c>
      <c r="Q28" s="12">
        <f>P28-H28*SQRT(J28)</f>
        <v>-0.22062966955141328</v>
      </c>
      <c r="R28">
        <f>IF(D28="C",1,-1)</f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>Y28*S28</f>
        <v>-53966104.731545962</v>
      </c>
      <c r="AA28" s="3">
        <f>Y28*U28*C28*1%*C28/X28</f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>AC28-H28</f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>I29/252</f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>1/(((1+K29)^(L29/252))*((1+$M$23)^(L29/252)))</f>
        <v>0.85291468158911843</v>
      </c>
      <c r="N29" s="9">
        <f>1/((1+G29)^J29)</f>
        <v>1</v>
      </c>
      <c r="O29" s="5">
        <f>LN(N29/M29)/J29</f>
        <v>0.14526134433083895</v>
      </c>
      <c r="P29" s="12">
        <f>(LN(C29/F29) + (O29 + (H29^2)/2)*J29) / (H29*SQRT(J29))</f>
        <v>4.717895348270152E-2</v>
      </c>
      <c r="Q29" s="12">
        <f>P29-H29*SQRT(J29)</f>
        <v>-0.22062966955141328</v>
      </c>
      <c r="R29">
        <f>IF(D29="C",1,-1)</f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>Y29*S29</f>
        <v>43392176.673422024</v>
      </c>
      <c r="AA29" s="3">
        <f>Y29*U29*C29*1%*C29/X29</f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>AC29-H29</f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bristo.lambdas</vt:lpstr>
      <vt:lpstr>ch1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2026-02-05T02:16:03Z</dcterms:modified>
</cp:coreProperties>
</file>