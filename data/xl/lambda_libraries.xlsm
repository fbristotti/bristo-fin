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6FB32EB1-802E-4A21-BDBA-118CBBE79FC2}" xr6:coauthVersionLast="47" xr6:coauthVersionMax="47" xr10:uidLastSave="{00000000-0000-0000-0000-000000000000}"/>
  <bookViews>
    <workbookView xWindow="-120" yWindow="-120" windowWidth="29040" windowHeight="15720" activeTab="1" xr2:uid="{DE452286-8C54-42EA-9FBD-687FCC5FC56A}"/>
  </bookViews>
  <sheets>
    <sheet name="bristo.lambdas" sheetId="1" r:id="rId1"/>
    <sheet name="ch1" sheetId="8" r:id="rId2"/>
    <sheet name="tables" sheetId="7" r:id="rId3"/>
    <sheet name="options" sheetId="3" r:id="rId4"/>
    <sheet name="box" sheetId="5" r:id="rId5"/>
  </sheets>
  <definedNames>
    <definedName name="_xleta.AVERAGE" hidden="1" xlm="1">#NAME?</definedName>
    <definedName name="_xleta.BYROW" hidden="1" xlm="1">#NAME?</definedName>
    <definedName name="_xleta.DAY" hidden="1" xlm="1">#NAME?</definedName>
    <definedName name="_xleta.DELTA" hidden="1" xlm="1">#NAME?</definedName>
    <definedName name="_xleta.EXPAND" hidden="1" xlm="1">#NAME?</definedName>
    <definedName name="_xleta.GAMMA" hidden="1" xlm="1">#NAME?</definedName>
    <definedName name="_xleta.HSTACK" hidden="1" xlm="1">#NAME?</definedName>
    <definedName name="_xleta.MAX" hidden="1" xlm="1">#NAME?</definedName>
    <definedName name="_xleta.MID" hidden="1" xlm="1">#NAME?</definedName>
    <definedName name="_xleta.MIN" hidden="1" xlm="1">#NAME?</definedName>
    <definedName name="_xleta.N" hidden="1" xlm="1">#NAME?</definedName>
    <definedName name="_xleta.ROWS" hidden="1" xlm="1">#NAME?</definedName>
    <definedName name="_xleta.SECOND" hidden="1" xlm="1">#NAME?</definedName>
    <definedName name="_xleta.SEQUENCE" hidden="1" xlm="1">#NAME?</definedName>
    <definedName name="_xleta.SORT" hidden="1" xlm="1">#NAME?</definedName>
    <definedName name="_xleta.SUM" hidden="1" xlm="1">#NAME?</definedName>
    <definedName name="_xleta.T" hidden="1" xlm="1">#NAME?</definedName>
    <definedName name="_xleta.TAKE" hidden="1" xlm="1">#NAME?</definedName>
    <definedName name="_xleta.TRANSPOSE" hidden="1" xlm="1">#NAME?</definedName>
    <definedName name="_xleta.TYPE" hidden="1" xlm="1">#NAME?</definedName>
    <definedName name="_xleta.VALUE" hidden="1" xlm="1">#NAME?</definedName>
    <definedName name="_xleta.VSTACK" hidden="1" xlm="1">#NAME?</definedName>
    <definedName name="_xlop.asdf" hidden="1" xlm="1">#NAME?</definedName>
    <definedName name="_xlop.debug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ax_iter" hidden="1" xlm="1">#NAME?</definedName>
    <definedName name="_xlop.min" hidden="1" xlm="1">#NAME?</definedName>
    <definedName name="_xlop.tol" hidden="1" xlm="1">#NAME?</definedName>
    <definedName name="_xlop.tolerance" hidden="1" xlm="1">#NAME?</definedName>
    <definedName name="_xlop.weight" hidden="1" xlm="1">#NAME?</definedName>
    <definedName name="_xlpm.__start" hidden="1" xlm="1">#NAME?</definedName>
    <definedName name="_xlpm._all_data" hidden="1" xlm="1">#NAME?</definedName>
    <definedName name="_xlpm._best" hidden="1" xlm="1">#NAME?</definedName>
    <definedName name="_xlpm._disc" hidden="1" xlm="1">#NAME?</definedName>
    <definedName name="_xlpm._end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out" hidden="1" xlm="1">#NAME?</definedName>
    <definedName name="_xlpm._r" hidden="1" xlm="1">#NAME?</definedName>
    <definedName name="_xlpm._second" hidden="1" xlm="1">#NAME?</definedName>
    <definedName name="_xlpm._sqrt_tau" hidden="1" xlm="1">#NAME?</definedName>
    <definedName name="_xlpm._start" hidden="1" xlm="1">#NAME?</definedName>
    <definedName name="_xlpm._target" hidden="1" xlm="1">#NAME?</definedName>
    <definedName name="_xlpm._tol" hidden="1" xlm="1">#NAME?</definedName>
    <definedName name="_xlpm._vol_tot" hidden="1" xlm="1">#NAME?</definedName>
    <definedName name="_xlpm._worst" hidden="1" xlm="1">#NAME?</definedName>
    <definedName name="_xlpm.a" hidden="1" xlm="1">#NAME?</definedName>
    <definedName name="_xlpm.a_" hidden="1" xlm="1">#NAME?</definedName>
    <definedName name="_xlpm.a_best" hidden="1" xlm="1">#NAME?</definedName>
    <definedName name="_xlpm.a_o" hidden="1" xlm="1">#NAME?</definedName>
    <definedName name="_xlpm.a_on" hidden="1" xlm="1">#NAME?</definedName>
    <definedName name="_xlpm.a_one" hidden="1" xlm="1">#NAME?</definedName>
    <definedName name="_xlpm.a_ones" hidden="1" xlm="1">#NAME?</definedName>
    <definedName name="_xlpm.a_second" hidden="1" xlm="1">#NAME?</definedName>
    <definedName name="_xlpm.a_worst" hidden="1" xlm="1">#NAME?</definedName>
    <definedName name="_xlpm.accum" hidden="1" xlm="1">#NAME?</definedName>
    <definedName name="_xlpm.acum" hidden="1" xlm="1">#NAME?</definedName>
    <definedName name="_xlpm.all_data" hidden="1" xlm="1">#NAME?</definedName>
    <definedName name="_xlpm.ar" hidden="1" xlm="1">#NAME?</definedName>
    <definedName name="_xlpm.arg" hidden="1" xlm="1">#NAME?</definedName>
    <definedName name="_xlpm.args" hidden="1" xlm="1">#NAME?</definedName>
    <definedName name="_xlpm.array" hidden="1" xlm="1">#NAME?</definedName>
    <definedName name="_xlpm.ars" hidden="1" xlm="1">#NAME?</definedName>
    <definedName name="_xlpm.asdf" hidden="1" xlm="1">#NAME?</definedName>
    <definedName name="_xlpm.b" hidden="1" xlm="1">#NAME?</definedName>
    <definedName name="_xlpm.best" hidden="1" xlm="1">#NAME?</definedName>
    <definedName name="_xlpm.borrow" hidden="1" xlm="1">#NAME?</definedName>
    <definedName name="_xlpm.bounds" hidden="1" xlm="1">#NAME?</definedName>
    <definedName name="_xlpm.c" hidden="1" xlm="1">#NAME?</definedName>
    <definedName name="_xlpm.c_p" hidden="1" xlm="1">#NAME?</definedName>
    <definedName name="_xlpm.calc_price" hidden="1" xlm="1">#NAME?</definedName>
    <definedName name="_xlpm.centroid" hidden="1" xlm="1">#NAME?</definedName>
    <definedName name="_xlpm.chars" hidden="1" xlm="1">#NAME?</definedName>
    <definedName name="_xlpm.code" hidden="1" xlm="1">#NAME?</definedName>
    <definedName name="_xlpm.cols" hidden="1" xlm="1">#NAME?</definedName>
    <definedName name="_xlpm.cov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" hidden="1" xlm="1">#NAME?</definedName>
    <definedName name="_xlpm.day" hidden="1" xlm="1">#NAME?</definedName>
    <definedName name="_xlpm.days" hidden="1" xlm="1">#NAME?</definedName>
    <definedName name="_xlpm.debug" hidden="1" xlm="1">#NAME?</definedName>
    <definedName name="_xlpm.debug_1" hidden="1" xlm="1">#NAME?</definedName>
    <definedName name="_xlpm.delta" hidden="1" xlm="1">#NAME?</definedName>
    <definedName name="_xlpm.df" hidden="1" xlm="1">#NAME?</definedName>
    <definedName name="_xlpm.e" hidden="1" xlm="1">#NAME?</definedName>
    <definedName name="_xlpm.e_" hidden="1" xlm="1">#NAME?</definedName>
    <definedName name="_xlpm.ei" hidden="1" xlm="1">#NAME?</definedName>
    <definedName name="_xlpm.en" hidden="1" xlm="1">#NAME?</definedName>
    <definedName name="_xlpm.end" hidden="1" xlm="1">#NAME?</definedName>
    <definedName name="_xlpm.eps" hidden="1" xlm="1">#NAME?</definedName>
    <definedName name="_xlpm.epsilon" hidden="1" xlm="1">#NAME?</definedName>
    <definedName name="_xlpm.expand" hidden="1" xlm="1">#NAME?</definedName>
    <definedName name="_xlpm.expiry" hidden="1" xlm="1">#NAME?</definedName>
    <definedName name="_xlpm.f" hidden="1" xlm="1">#NAME?</definedName>
    <definedName name="_xlpm.f_" hidden="1" xlm="1">#NAME?</definedName>
    <definedName name="_xlpm.f_1" hidden="1" xlm="1">#NAME?</definedName>
    <definedName name="_xlpm.f_b" hidden="1" xlm="1">#NAME?</definedName>
    <definedName name="_xlpm.f_be" hidden="1" xlm="1">#NAME?</definedName>
    <definedName name="_xlpm.f_bes" hidden="1" xlm="1">#NAME?</definedName>
    <definedName name="_xlpm.f_best" hidden="1" xlm="1">#NAME?</definedName>
    <definedName name="_xlpm.f_c" hidden="1" xlm="1">#NAME?</definedName>
    <definedName name="_xlpm.f_co" hidden="1" xlm="1">#NAME?</definedName>
    <definedName name="_xlpm.f_con" hidden="1" xlm="1">#NAME?</definedName>
    <definedName name="_xlpm.f_cont" hidden="1" xlm="1">#NAME?</definedName>
    <definedName name="_xlpm.f_contr" hidden="1" xlm="1">#NAME?</definedName>
    <definedName name="_xlpm.f_contra" hidden="1" xlm="1">#NAME?</definedName>
    <definedName name="_xlpm.f_contrac" hidden="1" xlm="1">#NAME?</definedName>
    <definedName name="_xlpm.f_contract" hidden="1" xlm="1">#NAME?</definedName>
    <definedName name="_xlpm.f_e" hidden="1" xlm="1">#NAME?</definedName>
    <definedName name="_xlpm.f_expand" hidden="1" xlm="1">#NAME?</definedName>
    <definedName name="_xlpm.f_ic" hidden="1" xlm="1">#NAME?</definedName>
    <definedName name="_xlpm.f_n" hidden="1" xlm="1">#NAME?</definedName>
    <definedName name="_xlpm.f_n1" hidden="1" xlm="1">#NAME?</definedName>
    <definedName name="_xlpm.f_oc" hidden="1" xlm="1">#NAME?</definedName>
    <definedName name="_xlpm.f_r" hidden="1" xlm="1">#NAME?</definedName>
    <definedName name="_xlpm.f_reflect" hidden="1" xlm="1">#NAME?</definedName>
    <definedName name="_xlpm.f_s" hidden="1" xlm="1">#NAME?</definedName>
    <definedName name="_xlpm.f_se" hidden="1" xlm="1">#NAME?</definedName>
    <definedName name="_xlpm.f_sec" hidden="1" xlm="1">#NAME?</definedName>
    <definedName name="_xlpm.f_seco" hidden="1" xlm="1">#NAME?</definedName>
    <definedName name="_xlpm.f_secon" hidden="1" xlm="1">#NAME?</definedName>
    <definedName name="_xlpm.f_second" hidden="1" xlm="1">#NAME?</definedName>
    <definedName name="_xlpm.f_shrink" hidden="1" xlm="1">#NAME?</definedName>
    <definedName name="_xlpm.f_stat" hidden="1" xlm="1">#NAME?</definedName>
    <definedName name="_xlpm.f_worst" hidden="1" xlm="1">#NAME?</definedName>
    <definedName name="_xlpm.final_bounds" hidden="1" xlm="1">#NAME?</definedName>
    <definedName name="_xlpm.fn" hidden="1" xlm="1">#NAME?</definedName>
    <definedName name="_xlpm.fprime" hidden="1" xlm="1">#NAME?</definedName>
    <definedName name="_xlpm.fu" hidden="1" xlm="1">#NAME?</definedName>
    <definedName name="_xlpm.fun" hidden="1" xlm="1">#NAME?</definedName>
    <definedName name="_xlpm.func" hidden="1" xlm="1">#NAME?</definedName>
    <definedName name="_xlpm.funct" hidden="1" xlm="1">#NAME?</definedName>
    <definedName name="_xlpm.functi" hidden="1" xlm="1">#NAME?</definedName>
    <definedName name="_xlpm.functio" hidden="1" xlm="1">#NAME?</definedName>
    <definedName name="_xlpm.function" hidden="1" xlm="1">#NAME?</definedName>
    <definedName name="_xlpm.fx" hidden="1" xlm="1">#NAME?</definedName>
    <definedName name="_xlpm.g" hidden="1" xlm="1">#NAME?</definedName>
    <definedName name="_xlpm.gamma" hidden="1" xlm="1">#NAME?</definedName>
    <definedName name="_xlpm.h" hidden="1" xlm="1">#NAME?</definedName>
    <definedName name="_xlpm.high" hidden="1" xlm="1">#NAME?</definedName>
    <definedName name="_xlpm.ho" hidden="1" xlm="1">#NAME?</definedName>
    <definedName name="_xlpm.hol" hidden="1" xlm="1">#NAME?</definedName>
    <definedName name="_xlpm.holi" hidden="1" xlm="1">#NAME?</definedName>
    <definedName name="_xlpm.holid" hidden="1" xlm="1">#NAME?</definedName>
    <definedName name="_xlpm.holida" hidden="1" xlm="1">#NAME?</definedName>
    <definedName name="_xlpm.holiday" hidden="1" xlm="1">#NAME?</definedName>
    <definedName name="_xlpm.holidays" hidden="1" xlm="1">#NAME?</definedName>
    <definedName name="_xlpm.i" hidden="1" xlm="1">#NAME?</definedName>
    <definedName name="_xlpm.if" hidden="1" xlm="1">#NAME?</definedName>
    <definedName name="_xlpm.ini" hidden="1" xlm="1">#NAME?</definedName>
    <definedName name="_xlpm.init_bounds" hidden="1" xlm="1">#NAME?</definedName>
    <definedName name="_xlpm.iterations" hidden="1" xlm="1">#NAME?</definedName>
    <definedName name="_xlpm.iters" hidden="1" xlm="1">#NAME?</definedName>
    <definedName name="_xlpm.j" hidden="1" xlm="1">#NAME?</definedName>
    <definedName name="_xlpm.K" hidden="1" xlm="1">#NAME?</definedName>
    <definedName name="_xlpm.kk" hidden="1" xlm="1">#NAME?</definedName>
    <definedName name="_xlpm.kurtosis" hidden="1" xlm="1">#NAME?</definedName>
    <definedName name="_xlpm.len_sel" hidden="1" xlm="1">#NAME?</definedName>
    <definedName name="_xlpm.letwday" hidden="1" xlm="1">#NAME?</definedName>
    <definedName name="_xlpm.lewday" hidden="1" xlm="1">#NAME?</definedName>
    <definedName name="_xlpm.lim_inf" hidden="1" xlm="1">#NAME?</definedName>
    <definedName name="_xlpm.lim_sup" hidden="1" xlm="1">#NAME?</definedName>
    <definedName name="_xlpm.low" hidden="1" xlm="1">#NAME?</definedName>
    <definedName name="_xlpm.lwday" hidden="1" xlm="1">#NAME?</definedName>
    <definedName name="_xlpm.m" hidden="1" xlm="1">#NAME?</definedName>
    <definedName name="_xlpm.m_" hidden="1" xlm="1">#NAME?</definedName>
    <definedName name="_xlpm.m_2" hidden="1" xlm="1">#NAME?</definedName>
    <definedName name="_xlpm.m_3" hidden="1" xlm="1">#NAME?</definedName>
    <definedName name="_xlpm.m_4" hidden="1" xlm="1">#NAME?</definedName>
    <definedName name="_xlpm.max" hidden="1" xlm="1">#NAME?</definedName>
    <definedName name="_xlpm.max_iter" hidden="1" xlm="1">#NAME?</definedName>
    <definedName name="_xlpm.mcov" hidden="1" xlm="1">#NAME?</definedName>
    <definedName name="_xlpm.mi" hidden="1" xlm="1">#NAME?</definedName>
    <definedName name="_xlpm.mid" hidden="1" xlm="1">#NAME?</definedName>
    <definedName name="_xlpm.min" hidden="1" xlm="1">#NAME?</definedName>
    <definedName name="_xlpm.ms" hidden="1" xlm="1">#NAME?</definedName>
    <definedName name="_xlpm.mse" hidden="1" xlm="1">#NAME?</definedName>
    <definedName name="_xlpm.n" hidden="1" xlm="1">#NAME?</definedName>
    <definedName name="_xlpm.new" hidden="1" xlm="1">#NAME?</definedName>
    <definedName name="_xlpm.NM_STEP" hidden="1" xlm="1">#NAME?</definedName>
    <definedName name="_xlpm.ones" hidden="1" xlm="1">#NAME?</definedName>
    <definedName name="_xlpm.output" hidden="1" xlm="1">#NAME?</definedName>
    <definedName name="_xlpm.output_selector" hidden="1" xlm="1">#NAME?</definedName>
    <definedName name="_xlpm.p" hidden="1" xlm="1">#NAME?</definedName>
    <definedName name="_xlpm.p_val" hidden="1" xlm="1">#NAME?</definedName>
    <definedName name="_xlpm.premium" hidden="1" xlm="1">#NAME?</definedName>
    <definedName name="_xlpm.price" hidden="1" xlm="1">#NAME?</definedName>
    <definedName name="_xlpm.ps" hidden="1" xlm="1">#NAME?</definedName>
    <definedName name="_xlpm.r" hidden="1" xlm="1">#NAME?</definedName>
    <definedName name="_xlpm.r_2" hidden="1" xlm="1">#NAME?</definedName>
    <definedName name="_xlpm.r_adj" hidden="1" xlm="1">#NAME?</definedName>
    <definedName name="_xlpm.re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es" hidden="1" xlm="1">#NAME?</definedName>
    <definedName name="_xlpm.resi" hidden="1" xlm="1">#NAME?</definedName>
    <definedName name="_xlpm.resid" hidden="1" xlm="1">#NAME?</definedName>
    <definedName name="_xlpm.resid_avg" hidden="1" xlm="1">#NAME?</definedName>
    <definedName name="_xlpm.result" hidden="1" xlm="1">#NAME?</definedName>
    <definedName name="_xlpm.rho" hidden="1" xlm="1">#NAME?</definedName>
    <definedName name="_xlpm.row" hidden="1" xlm="1">#NAME?</definedName>
    <definedName name="_xlpm.rows" hidden="1" xlm="1">#NAME?</definedName>
    <definedName name="_xlpm.rs" hidden="1" xlm="1">#NAME?</definedName>
    <definedName name="_xlpm.rst" hidden="1" xlm="1">#NAME?</definedName>
    <definedName name="_xlpm.S" hidden="1" xlm="1">#NAME?</definedName>
    <definedName name="_xlpm.sa" hidden="1" xlm="1">#NAME?</definedName>
    <definedName name="_xlpm.saa" hidden="1" xlm="1">#NAME?</definedName>
    <definedName name="_xlpm.seb" hidden="1" xlm="1">#NAME?</definedName>
    <definedName name="_xlpm.selector" hidden="1" xlm="1">#NAME?</definedName>
    <definedName name="_xlpm.si" hidden="1" xlm="1">#NAME?</definedName>
    <definedName name="_xlpm.sigma" hidden="1" xlm="1">#NAME?</definedName>
    <definedName name="_xlpm.sim" hidden="1" xlm="1">#NAME?</definedName>
    <definedName name="_xlpm.simp" hidden="1" xlm="1">#NAME?</definedName>
    <definedName name="_xlpm.simpl" hidden="1" xlm="1">#NAME?</definedName>
    <definedName name="_xlpm.simple" hidden="1" xlm="1">#NAME?</definedName>
    <definedName name="_xlpm.simplex" hidden="1" xlm="1">#NAME?</definedName>
    <definedName name="_xlpm.skew" hidden="1" xlm="1">#NAME?</definedName>
    <definedName name="_xlpm.so" hidden="1" xlm="1">#NAME?</definedName>
    <definedName name="_xlpm.sop" hidden="1" xlm="1">#NAME?</definedName>
    <definedName name="_xlpm.sopt" hidden="1" xlm="1">#NAME?</definedName>
    <definedName name="_xlpm.sort" hidden="1" xlm="1">#NAME?</definedName>
    <definedName name="_xlpm.sp" hidden="1" xlm="1">#NAME?</definedName>
    <definedName name="_xlpm.spo" hidden="1" xlm="1">#NAME?</definedName>
    <definedName name="_xlpm.spot" hidden="1" xlm="1">#NAME?</definedName>
    <definedName name="_xlpm.ss" hidden="1" xlm="1">#NAME?</definedName>
    <definedName name="_xlpm.sse" hidden="1" xlm="1">#NAME?</definedName>
    <definedName name="_xlpm.ssr" hidden="1" xlm="1">#NAME?</definedName>
    <definedName name="_xlpm.ssto" hidden="1" xlm="1">#NAME?</definedName>
    <definedName name="_xlpm.st" hidden="1" xlm="1">#NAME?</definedName>
    <definedName name="_xlpm.sta" hidden="1" xlm="1">#NAME?</definedName>
    <definedName name="_xlpm.star" hidden="1" xlm="1">#NAME?</definedName>
    <definedName name="_xlpm.start" hidden="1" xlm="1">#NAME?</definedName>
    <definedName name="_xlpm.start_" hidden="1" xlm="1">#NAME?</definedName>
    <definedName name="_xlpm.start__" hidden="1" xlm="1">#NAME?</definedName>
    <definedName name="_xlpm.start_b" hidden="1" xlm="1">#NAME?</definedName>
    <definedName name="_xlpm.starta" hidden="1" xlm="1">#NAME?</definedName>
    <definedName name="_xlpm.str" hidden="1" xlm="1">#NAME?</definedName>
    <definedName name="_xlpm.stri" hidden="1" xlm="1">#NAME?</definedName>
    <definedName name="_xlpm.strik" hidden="1" xlm="1">#NAME?</definedName>
    <definedName name="_xlpm.strike" hidden="1" xlm="1">#NAME?</definedName>
    <definedName name="_xlpm.t" hidden="1" xlm="1">#NAME?</definedName>
    <definedName name="_xlpm.t_" hidden="1" xlm="1">#NAME?</definedName>
    <definedName name="_xlpm.t_critico" hidden="1" xlm="1">#NAME?</definedName>
    <definedName name="_xlpm.t_v" hidden="1" xlm="1">#NAME?</definedName>
    <definedName name="_xlpm.t_va" hidden="1" xlm="1">#NAME?</definedName>
    <definedName name="_xlpm.t_val" hidden="1" xlm="1">#NAME?</definedName>
    <definedName name="_xlpm.ta" hidden="1" xlm="1">#NAME?</definedName>
    <definedName name="_xlpm.taprice" hidden="1" xlm="1">#NAME?</definedName>
    <definedName name="_xlpm.targeprice" hidden="1" xlm="1">#NAME?</definedName>
    <definedName name="_xlpm.target_price" hidden="1" xlm="1">#NAME?</definedName>
    <definedName name="_xlpm.targetprice" hidden="1" xlm="1">#NAME?</definedName>
    <definedName name="_xlpm.targprice" hidden="1" xlm="1">#NAME?</definedName>
    <definedName name="_xlpm.tarprice" hidden="1" xlm="1">#NAME?</definedName>
    <definedName name="_xlpm.tau" hidden="1" xlm="1">#NAME?</definedName>
    <definedName name="_xlpm.theta" hidden="1" xlm="1">#NAME?</definedName>
    <definedName name="_xlpm.tok" hidden="1" xlm="1">#NAME?</definedName>
    <definedName name="_xlpm.tol" hidden="1" xlm="1">#NAME?</definedName>
    <definedName name="_xlpm.tolerance" hidden="1" xlm="1">#NAME?</definedName>
    <definedName name="_xlpm.tprice" hidden="1" xlm="1">#NAME?</definedName>
    <definedName name="_xlpm.tt" hidden="1" xlm="1">#NAME?</definedName>
    <definedName name="_xlpm.type" hidden="1" xlm="1">#NAME?</definedName>
    <definedName name="_xlpm.v" hidden="1" xlm="1">#NAME?</definedName>
    <definedName name="_xlpm.v_best" hidden="1" xlm="1">#NAME?</definedName>
    <definedName name="_xlpm.v_min" hidden="1" xlm="1">#NAME?</definedName>
    <definedName name="_xlpm.v_second" hidden="1" xlm="1">#NAME?</definedName>
    <definedName name="_xlpm.v_target" hidden="1" xlm="1">#NAME?</definedName>
    <definedName name="_xlpm.v_worst" hidden="1" xlm="1">#NAME?</definedName>
    <definedName name="_xlpm.va" hidden="1" xlm="1">#NAME?</definedName>
    <definedName name="_xlpm.va_min" hidden="1" xlm="1">#NAME?</definedName>
    <definedName name="_xlpm.va_target" hidden="1" xlm="1">#NAME?</definedName>
    <definedName name="_xlpm.vabest" hidden="1" xlm="1">#NAME?</definedName>
    <definedName name="_xlpm.val" hidden="1" xlm="1">#NAME?</definedName>
    <definedName name="_xlpm.val_" hidden="1" xlm="1">#NAME?</definedName>
    <definedName name="_xlpm.val_best" hidden="1" xlm="1">#NAME?</definedName>
    <definedName name="_xlpm.val_min" hidden="1" xlm="1">#NAME?</definedName>
    <definedName name="_xlpm.val_t" hidden="1" xlm="1">#NAME?</definedName>
    <definedName name="_xlpm.val_ta" hidden="1" xlm="1">#NAME?</definedName>
    <definedName name="_xlpm.val_tar" hidden="1" xlm="1">#NAME?</definedName>
    <definedName name="_xlpm.val_targ" hidden="1" xlm="1">#NAME?</definedName>
    <definedName name="_xlpm.val_targe" hidden="1" xlm="1">#NAME?</definedName>
    <definedName name="_xlpm.val_target" hidden="1" xlm="1">#NAME?</definedName>
    <definedName name="_xlpm.valbest" hidden="1" xlm="1">#NAME?</definedName>
    <definedName name="_xlpm.vals" hidden="1" xlm="1">#NAME?</definedName>
    <definedName name="_xlpm.valu" hidden="1" xlm="1">#NAME?</definedName>
    <definedName name="_xlpm.valu_min" hidden="1" xlm="1">#NAME?</definedName>
    <definedName name="_xlpm.valu_target" hidden="1" xlm="1">#NAME?</definedName>
    <definedName name="_xlpm.value" hidden="1" xlm="1">#NAME?</definedName>
    <definedName name="_xlpm.value_min" hidden="1" xlm="1">#NAME?</definedName>
    <definedName name="_xlpm.value_target" hidden="1" xlm="1">#NAME?</definedName>
    <definedName name="_xlpm.variance" hidden="1" xlm="1">#NAME?</definedName>
    <definedName name="_xlpm.vbest" hidden="1" xlm="1">#NAME?</definedName>
    <definedName name="_xlpm.vega" hidden="1" xlm="1">#NAME?</definedName>
    <definedName name="_xlpm.vol_m" hidden="1" xlm="1">#NAME?</definedName>
    <definedName name="_xlpm.vol_ma" hidden="1" xlm="1">#NAME?</definedName>
    <definedName name="_xlpm.vol_max" hidden="1" xlm="1">#NAME?</definedName>
    <definedName name="_xlpm.vol_min" hidden="1" xlm="1">#NAME?</definedName>
    <definedName name="_xlpm.vol_tolerance" hidden="1" xlm="1">#NAME?</definedName>
    <definedName name="_xlpm.voltolerance" hidden="1" xlm="1">#NAME?</definedName>
    <definedName name="_xlpm.votolerance" hidden="1" xlm="1">#NAME?</definedName>
    <definedName name="_xlpm.vtolerance" hidden="1" xlm="1">#NAME?</definedName>
    <definedName name="_xlpm.w" hidden="1" xlm="1">#NAME?</definedName>
    <definedName name="_xlpm.wday" hidden="1" xlm="1">#NAME?</definedName>
    <definedName name="_xlpm.we" hidden="1" xlm="1">#NAME?</definedName>
    <definedName name="_xlpm.wei" hidden="1" xlm="1">#NAME?</definedName>
    <definedName name="_xlpm.weig" hidden="1" xlm="1">#NAME?</definedName>
    <definedName name="_xlpm.weigh" hidden="1" xlm="1">#NAME?</definedName>
    <definedName name="_xlpm.weighs" hidden="1" xlm="1">#NAME?</definedName>
    <definedName name="_xlpm.weight" hidden="1" xlm="1">#NAME?</definedName>
    <definedName name="_xlpm.weight_vec" hidden="1" xlm="1">#NAME?</definedName>
    <definedName name="_xlpm.worst" hidden="1" xlm="1">#NAME?</definedName>
    <definedName name="_xlpm.ww" hidden="1" xlm="1">#NAME?</definedName>
    <definedName name="_xlpm.wwi" hidden="1" xlm="1">#NAME?</definedName>
    <definedName name="_xlpm.wwig" hidden="1" xlm="1">#NAME?</definedName>
    <definedName name="_xlpm.x" hidden="1" xlm="1">#NAME?</definedName>
    <definedName name="_xlpm.x_" hidden="1" xlm="1">#NAME?</definedName>
    <definedName name="_xlpm.x_1" hidden="1" xlm="1">#NAME?</definedName>
    <definedName name="_xlpm.x_best" hidden="1" xlm="1">#NAME?</definedName>
    <definedName name="_xlpm.x_c" hidden="1" xlm="1">#NAME?</definedName>
    <definedName name="_xlpm.x_ca" hidden="1" xlm="1">#NAME?</definedName>
    <definedName name="_xlpm.x_cal" hidden="1" xlm="1">#NAME?</definedName>
    <definedName name="_xlpm.x_calc" hidden="1" xlm="1">#NAME?</definedName>
    <definedName name="_xlpm.x_centroid" hidden="1" xlm="1">#NAME?</definedName>
    <definedName name="_xlpm.x_co" hidden="1" xlm="1">#NAME?</definedName>
    <definedName name="_xlpm.x_col" hidden="1" xlm="1">#NAME?</definedName>
    <definedName name="_xlpm.x_con" hidden="1" xlm="1">#NAME?</definedName>
    <definedName name="_xlpm.x_cont" hidden="1" xlm="1">#NAME?</definedName>
    <definedName name="_xlpm.x_contr" hidden="1" xlm="1">#NAME?</definedName>
    <definedName name="_xlpm.x_contra" hidden="1" xlm="1">#NAME?</definedName>
    <definedName name="_xlpm.x_contrac" hidden="1" xlm="1">#NAME?</definedName>
    <definedName name="_xlpm.x_contract" hidden="1" xlm="1">#NAME?</definedName>
    <definedName name="_xlpm.x_contrc" hidden="1" xlm="1">#NAME?</definedName>
    <definedName name="_xlpm.x_e" hidden="1" xlm="1">#NAME?</definedName>
    <definedName name="_xlpm.x_expand" hidden="1" xlm="1">#NAME?</definedName>
    <definedName name="_xlpm.x_ic" hidden="1" xlm="1">#NAME?</definedName>
    <definedName name="_xlpm.x_m" hidden="1" xlm="1">#NAME?</definedName>
    <definedName name="_xlpm.x_n" hidden="1" xlm="1">#NAME?</definedName>
    <definedName name="_xlpm.x_n1" hidden="1" xlm="1">#NAME?</definedName>
    <definedName name="_xlpm.x_oc" hidden="1" xlm="1">#NAME?</definedName>
    <definedName name="_xlpm.x_r" hidden="1" xlm="1">#NAME?</definedName>
    <definedName name="_xlpm.x_range" hidden="1" xlm="1">#NAME?</definedName>
    <definedName name="_xlpm.x_reflect" hidden="1" xlm="1">#NAME?</definedName>
    <definedName name="_xlpm.x_second" hidden="1" xlm="1">#NAME?</definedName>
    <definedName name="_xlpm.x_shrink" hidden="1" xlm="1">#NAME?</definedName>
    <definedName name="_xlpm.x_target" hidden="1" xlm="1">#NAME?</definedName>
    <definedName name="_xlpm.x_v" hidden="1" xlm="1">#NAME?</definedName>
    <definedName name="_xlpm.x_ve" hidden="1" xlm="1">#NAME?</definedName>
    <definedName name="_xlpm.x_vec" hidden="1" xlm="1">#NAME?</definedName>
    <definedName name="_xlpm.x_worst" hidden="1" xlm="1">#NAME?</definedName>
    <definedName name="_xlpm.xcentroid" hidden="1" xlm="1">#NAME?</definedName>
    <definedName name="_xlpm.xn" hidden="1" xlm="1">#NAME?</definedName>
    <definedName name="_xlpm.xstart" hidden="1" xlm="1">#NAME?</definedName>
    <definedName name="_xlpm.XTX" hidden="1" xlm="1">#NAME?</definedName>
    <definedName name="_xlpm.XTX_inv" hidden="1" xlm="1">#NAME?</definedName>
    <definedName name="_xlpm.XTy" hidden="1" xlm="1">#NAME?</definedName>
    <definedName name="_xlpm.y" hidden="1" xlm="1">#NAME?</definedName>
    <definedName name="_xlpm.y_avg" hidden="1" xlm="1">#NAME?</definedName>
    <definedName name="_xlpm.y_est" hidden="1" xlm="1">#NAME?</definedName>
    <definedName name="_xlpm.y_vec" hidden="1" xlm="1">#NAME?</definedName>
    <definedName name="_xlpm.z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MDIAG">_xlfn.LAMBDA(_xlpm.array,
  _xlfn.LET(
    _xlpm.rows,ROWS(_xlpm.array),
    _xlfn.MAKEARRAY(_xlpm.rows,_xlpm.rows,_xlfn.LAMBDA(_xlpm.i,_xlpm.j,IF(_xlpm.i=_xlpm.j,INDEX(_xlpm.array,_xlpm.i),0)))
  )
)</definedName>
    <definedName name="BRISTO.N_BDAYS">_xlfn.LAMBDA(_xlpm.x,_xlpm.y,
  _xlpm.x*_xlpm.y
)</definedName>
    <definedName name="BRISTO.NELDER_MEAD">_xlfn.LAMBDA(_xlpm.fn,_xlpm.ini,_xlop.tol,_xlop.max_iter,_xlop.debug,
  _xlfn.LET(
     _xlpm.tol,IF(_xlfn.ISOMITTED(_xlpm.tol),10^-10,_xlpm.tol),
     _xlpm.max_iter,IF(_xlfn.ISOMITTED(_xlpm.max_iter),1000,_xlpm.max_iter),
     _xlpm.debug,IF(_xlfn.ISOMITTED(_xlpm.debug),FALSE,_xlpm.debug),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_xlfn._xlws.SORT(_xlfn.HSTACK(_xlfn.BYROW(_xlpm.ini,_xlpm.fn),_xlpm.ini),1),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OLS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definedName>
    <definedName name="BRISTO.OLS_COVMATRIX">_xlfn.LAMBDA(_xlpm.x_range,_xlop.weight,
  _xlfn.LET(
    _xlpm.W,IF(_xlfn.ISOMITTED(_xlpm.weight),BRISTO.MDIAG(_xlfn.SEQUENCE(ROWS(_xlpm.x_range),,1,0)),BRISTO.MDIAG(_xlpm.weight)),
    MINVERSE(MMULT(MMULT(TRANSPOSE(_xlpm.x_range),_xlpm.W),_xlpm.x_range))
  )
)</definedName>
    <definedName name="BRISTO.OLS_VARIANCE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definedName>
    <definedName name="BRISTO.OPT_EURO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definedName>
    <definedName name="BRISTO.OPT_IVOL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definedName>
    <definedName name="BRISTO.OPT_IVOL2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_xlpm._tol,IF(_xlfn.ISOMITTED(_xlpm.tolerance),0.0001,_xlpm.tolerance),
    BRISTO.BISECT(_xlfn.LAMBDA(_xlpm.x,BRISTO.OPT_EURO(_xlpm.spot,_xlpm.type,_xlpm.tau,_xlpm.strike,_xlpm.borrow,_xlpm.df,_xlpm.x,"P")),_xlpm.price,_xlpm._min,_xlpm._max,_xlpm._tol)
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BRISTO.WLS">_xlfn.LAMBDA(_xlpm.x,_xlpm.y,
  _xlpm.x*_xlpm.y
)</definedName>
    <definedName name="ExternalData_1" localSheetId="2" hidden="1">tables!$A$1:$A$868</definedName>
    <definedName name="ExternalData_2" localSheetId="2" hidden="1">tables!$C$1:$C$1265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4" i="8" l="1" a="1"/>
  <c r="F104" i="8" a="1"/>
  <c r="F104" i="8" s="1"/>
  <c r="F109" i="8" a="1"/>
  <c r="F109" i="8" s="1"/>
  <c r="C16" i="1" a="1"/>
  <c r="C16" i="1" s="1"/>
  <c r="C12" i="1" a="1"/>
  <c r="C12" i="1" s="1"/>
  <c r="B93" i="8" a="1"/>
  <c r="C13" i="1" a="1"/>
  <c r="C13" i="1" s="1"/>
  <c r="C14" i="1" a="1"/>
  <c r="C14" i="1" s="1"/>
  <c r="F18" i="1" a="1"/>
  <c r="F18" i="1" s="1"/>
  <c r="H34" i="1" s="1" a="1"/>
  <c r="H34" i="1" s="1"/>
  <c r="F10" i="1" a="1"/>
  <c r="C15" i="1" a="1"/>
  <c r="C15" i="1" s="1"/>
  <c r="B49" i="8" a="1"/>
  <c r="B35" i="8" a="1"/>
  <c r="B28" i="8" a="1"/>
  <c r="B28" i="8" s="1"/>
  <c r="C25" i="8" a="1"/>
  <c r="C25" i="8" s="1"/>
  <c r="D25" i="8" s="1" a="1"/>
  <c r="D25" i="8" s="1"/>
  <c r="E25" i="8" s="1"/>
  <c r="D6" i="8"/>
  <c r="C6" i="8"/>
  <c r="C14" i="8"/>
  <c r="C11" i="1" a="1"/>
  <c r="C11" i="1" s="1"/>
  <c r="C9" i="1" a="1"/>
  <c r="C9" i="1" s="1"/>
  <c r="C10" i="1" a="1"/>
  <c r="C10" i="1" s="1"/>
  <c r="L29" i="5" a="1"/>
  <c r="L29" i="5" s="1"/>
  <c r="L28" i="5" a="1"/>
  <c r="L28" i="5" s="1"/>
  <c r="L27" i="5" a="1"/>
  <c r="L27" i="5" s="1"/>
  <c r="L26" i="5" a="1"/>
  <c r="L26" i="5" s="1"/>
  <c r="I29" i="5" a="1"/>
  <c r="I29" i="5" s="1"/>
  <c r="J29" i="5" s="1"/>
  <c r="I28" i="5" a="1"/>
  <c r="I28" i="5" s="1"/>
  <c r="J28" i="5" s="1"/>
  <c r="I27" i="5" a="1"/>
  <c r="I27" i="5" s="1"/>
  <c r="J27" i="5" s="1"/>
  <c r="N27" i="5" s="1"/>
  <c r="I26" i="5" a="1"/>
  <c r="I26" i="5" s="1"/>
  <c r="J26" i="5" s="1"/>
  <c r="L7" i="5" a="1"/>
  <c r="L7" i="5" s="1"/>
  <c r="M7" i="5" s="1"/>
  <c r="L8" i="5" a="1"/>
  <c r="L8" i="5" s="1"/>
  <c r="M8" i="5" s="1"/>
  <c r="L9" i="5" a="1"/>
  <c r="L9" i="5" s="1"/>
  <c r="M9" i="5" s="1"/>
  <c r="L6" i="5" a="1"/>
  <c r="L6" i="5" s="1"/>
  <c r="M6" i="5" s="1"/>
  <c r="I9" i="5" a="1"/>
  <c r="I9" i="5" s="1"/>
  <c r="J9" i="5" s="1"/>
  <c r="I8" i="5" a="1"/>
  <c r="I8" i="5" s="1"/>
  <c r="J8" i="5" s="1"/>
  <c r="I7" i="5" a="1"/>
  <c r="I7" i="5" s="1"/>
  <c r="J7" i="5" s="1"/>
  <c r="N7" i="5" s="1"/>
  <c r="I6" i="5" a="1"/>
  <c r="I6" i="5" s="1"/>
  <c r="J6" i="5" s="1"/>
  <c r="K27" i="3" a="1"/>
  <c r="K27" i="3" s="1"/>
  <c r="K28" i="3" a="1"/>
  <c r="K28" i="3" s="1"/>
  <c r="K29" i="3" a="1"/>
  <c r="K29" i="3" s="1"/>
  <c r="K30" i="3" a="1"/>
  <c r="K30" i="3" s="1"/>
  <c r="K31" i="3" a="1"/>
  <c r="K31" i="3" s="1"/>
  <c r="K32" i="3" a="1"/>
  <c r="K32" i="3" s="1"/>
  <c r="K33" i="3" a="1"/>
  <c r="K33" i="3" s="1"/>
  <c r="K34" i="3" a="1"/>
  <c r="K34" i="3" s="1"/>
  <c r="K35" i="3" a="1"/>
  <c r="K35" i="3" s="1"/>
  <c r="K26" i="3" a="1"/>
  <c r="K26" i="3" s="1"/>
  <c r="I20" i="3" a="1"/>
  <c r="I20" i="3" s="1"/>
  <c r="J20" i="3" s="1"/>
  <c r="I19" i="3" a="1"/>
  <c r="I19" i="3" s="1"/>
  <c r="J19" i="3" s="1"/>
  <c r="I18" i="3" a="1"/>
  <c r="I18" i="3" s="1"/>
  <c r="J18" i="3" s="1"/>
  <c r="I17" i="3" a="1"/>
  <c r="I17" i="3" s="1"/>
  <c r="J17" i="3" s="1"/>
  <c r="I13" i="3" a="1"/>
  <c r="I13" i="3" s="1"/>
  <c r="I12" i="3" a="1"/>
  <c r="I12" i="3" s="1"/>
  <c r="I11" i="3" a="1"/>
  <c r="I11" i="3" s="1"/>
  <c r="J11" i="3" s="1"/>
  <c r="I10" i="3" a="1"/>
  <c r="I10" i="3" s="1"/>
  <c r="J10" i="3" s="1"/>
  <c r="N10" i="3" s="1"/>
  <c r="I4" i="3" a="1"/>
  <c r="I4" i="3" s="1"/>
  <c r="J4" i="3" s="1"/>
  <c r="N4" i="3" s="1"/>
  <c r="I5" i="3" a="1"/>
  <c r="I5" i="3" s="1"/>
  <c r="J5" i="3" s="1"/>
  <c r="N5" i="3" s="1"/>
  <c r="I6" i="3" a="1"/>
  <c r="I6" i="3" s="1"/>
  <c r="J6" i="3" s="1"/>
  <c r="N6" i="3" s="1"/>
  <c r="I3" i="3" a="1"/>
  <c r="I3" i="3" s="1"/>
  <c r="J3" i="3" s="1"/>
  <c r="N3" i="3" s="1"/>
  <c r="L20" i="3" a="1"/>
  <c r="L20" i="3" s="1"/>
  <c r="M20" i="3" s="1"/>
  <c r="L19" i="3" a="1"/>
  <c r="L19" i="3" s="1"/>
  <c r="M19" i="3" s="1"/>
  <c r="L18" i="3" a="1"/>
  <c r="L18" i="3" s="1"/>
  <c r="M18" i="3" s="1"/>
  <c r="L17" i="3" a="1"/>
  <c r="L17" i="3" s="1"/>
  <c r="M17" i="3" s="1"/>
  <c r="L13" i="3" a="1"/>
  <c r="L13" i="3" s="1"/>
  <c r="L12" i="3" a="1"/>
  <c r="L12" i="3" s="1"/>
  <c r="L11" i="3" a="1"/>
  <c r="L11" i="3" s="1"/>
  <c r="M11" i="3" s="1"/>
  <c r="L10" i="3" a="1"/>
  <c r="L10" i="3" s="1"/>
  <c r="M10" i="3" s="1"/>
  <c r="L4" i="3" a="1"/>
  <c r="L4" i="3" s="1"/>
  <c r="M4" i="3" s="1"/>
  <c r="L5" i="3" a="1"/>
  <c r="L5" i="3" s="1"/>
  <c r="M5" i="3" s="1"/>
  <c r="L6" i="3" a="1"/>
  <c r="L6" i="3" s="1"/>
  <c r="M6" i="3" s="1"/>
  <c r="L3" i="3" a="1"/>
  <c r="L3" i="3" s="1"/>
  <c r="M3" i="3" s="1"/>
  <c r="Y26" i="5"/>
  <c r="Y27" i="5" s="1"/>
  <c r="Y28" i="5" s="1"/>
  <c r="Y29" i="5" s="1"/>
  <c r="Y9" i="5"/>
  <c r="Y8" i="5"/>
  <c r="Y7" i="5"/>
  <c r="Y6" i="5"/>
  <c r="K11" i="5"/>
  <c r="K12" i="5" s="1"/>
  <c r="R29" i="5"/>
  <c r="F29" i="5"/>
  <c r="R28" i="5"/>
  <c r="F28" i="5"/>
  <c r="R27" i="5"/>
  <c r="F27" i="5"/>
  <c r="R26" i="5"/>
  <c r="F26" i="5"/>
  <c r="E22" i="5"/>
  <c r="E19" i="5"/>
  <c r="E20" i="5" s="1"/>
  <c r="D14" i="5"/>
  <c r="D15" i="5"/>
  <c r="E15" i="5" s="1"/>
  <c r="D16" i="5"/>
  <c r="D13" i="5"/>
  <c r="E13" i="5" s="1"/>
  <c r="F9" i="5"/>
  <c r="F8" i="5"/>
  <c r="F7" i="5"/>
  <c r="F6" i="5"/>
  <c r="R9" i="5"/>
  <c r="R8" i="5"/>
  <c r="R7" i="5"/>
  <c r="R6" i="5"/>
  <c r="X22" i="3"/>
  <c r="Y22" i="3"/>
  <c r="X23" i="3"/>
  <c r="Y23" i="3"/>
  <c r="X24" i="3"/>
  <c r="Y24" i="3"/>
  <c r="X25" i="3"/>
  <c r="Y25" i="3"/>
  <c r="R20" i="3"/>
  <c r="R19" i="3"/>
  <c r="R18" i="3"/>
  <c r="R17" i="3"/>
  <c r="C8" i="1"/>
  <c r="C7" i="1" a="1"/>
  <c r="C7" i="1" s="1"/>
  <c r="C6" i="1" a="1"/>
  <c r="C6" i="1" s="1"/>
  <c r="C5" i="1" a="1"/>
  <c r="C5" i="1" s="1"/>
  <c r="E27" i="3"/>
  <c r="C27" i="3"/>
  <c r="C28" i="3" s="1"/>
  <c r="C29" i="3" s="1"/>
  <c r="G26" i="3"/>
  <c r="R13" i="3"/>
  <c r="R12" i="3"/>
  <c r="R11" i="3"/>
  <c r="R10" i="3"/>
  <c r="E10" i="3"/>
  <c r="E11" i="3" s="1"/>
  <c r="R6" i="3"/>
  <c r="R5" i="3"/>
  <c r="R4" i="3"/>
  <c r="R3" i="3"/>
  <c r="D104" i="8" l="1"/>
  <c r="B93" i="8"/>
  <c r="F10" i="1"/>
  <c r="F22" i="1" a="1"/>
  <c r="F22" i="1" s="1"/>
  <c r="B49" i="8"/>
  <c r="B35" i="8"/>
  <c r="C8" i="8"/>
  <c r="C7" i="8"/>
  <c r="C10" i="8"/>
  <c r="C9" i="8"/>
  <c r="C18" i="8"/>
  <c r="C16" i="8"/>
  <c r="C17" i="8"/>
  <c r="C15" i="8"/>
  <c r="O3" i="3"/>
  <c r="P3" i="3" s="1"/>
  <c r="O6" i="3"/>
  <c r="P6" i="3" s="1"/>
  <c r="E16" i="5"/>
  <c r="E14" i="5"/>
  <c r="E23" i="5"/>
  <c r="E17" i="5"/>
  <c r="N29" i="5"/>
  <c r="N28" i="5"/>
  <c r="N26" i="5"/>
  <c r="N9" i="5"/>
  <c r="S9" i="5" s="1" a="1"/>
  <c r="N8" i="5"/>
  <c r="S8" i="5" s="1" a="1"/>
  <c r="S7" i="5" a="1"/>
  <c r="O7" i="5"/>
  <c r="P7" i="5" s="1"/>
  <c r="Q7" i="5" s="1"/>
  <c r="N6" i="5"/>
  <c r="S6" i="5" s="1" a="1"/>
  <c r="N20" i="3"/>
  <c r="S20" i="3" s="1" a="1"/>
  <c r="N19" i="3"/>
  <c r="N18" i="3"/>
  <c r="N17" i="3"/>
  <c r="O5" i="3"/>
  <c r="P5" i="3" s="1"/>
  <c r="O4" i="3"/>
  <c r="P4" i="3" s="1"/>
  <c r="E28" i="3"/>
  <c r="G27" i="3"/>
  <c r="N11" i="3"/>
  <c r="O11" i="3" s="1"/>
  <c r="P11" i="3" s="1"/>
  <c r="E29" i="3"/>
  <c r="G28" i="3"/>
  <c r="C30" i="3"/>
  <c r="C31" i="3" s="1"/>
  <c r="C32" i="3" s="1"/>
  <c r="C33" i="3" s="1"/>
  <c r="C34" i="3" s="1"/>
  <c r="C35" i="3" s="1"/>
  <c r="C36" i="3" s="1"/>
  <c r="C37" i="3" s="1"/>
  <c r="H26" i="3"/>
  <c r="H27" i="3"/>
  <c r="L26" i="3"/>
  <c r="M26" i="3" s="1"/>
  <c r="E12" i="3"/>
  <c r="O10" i="3"/>
  <c r="P10" i="3" s="1"/>
  <c r="C35" i="8" l="1" a="1"/>
  <c r="O17" i="3"/>
  <c r="P17" i="3" s="1"/>
  <c r="Q17" i="3" s="1"/>
  <c r="S17" i="3" a="1"/>
  <c r="O19" i="3"/>
  <c r="P19" i="3" s="1"/>
  <c r="Q19" i="3" s="1"/>
  <c r="S19" i="3" a="1"/>
  <c r="O18" i="3"/>
  <c r="P18" i="3" s="1"/>
  <c r="Q18" i="3" s="1"/>
  <c r="S18" i="3" a="1"/>
  <c r="V3" i="3"/>
  <c r="T3" i="3"/>
  <c r="U3" i="3"/>
  <c r="Q3" i="3"/>
  <c r="V6" i="3"/>
  <c r="V25" i="3" s="1"/>
  <c r="T6" i="3"/>
  <c r="U6" i="3"/>
  <c r="Q6" i="3"/>
  <c r="AA9" i="5"/>
  <c r="AB9" i="5"/>
  <c r="S9" i="5"/>
  <c r="O9" i="5"/>
  <c r="P9" i="5" s="1"/>
  <c r="Q9" i="5" s="1"/>
  <c r="S8" i="5"/>
  <c r="AA8" i="5"/>
  <c r="AB8" i="5"/>
  <c r="O8" i="5"/>
  <c r="P8" i="5" s="1"/>
  <c r="Q8" i="5" s="1"/>
  <c r="S7" i="5"/>
  <c r="AB7" i="5"/>
  <c r="AA7" i="5"/>
  <c r="S6" i="5"/>
  <c r="AA6" i="5"/>
  <c r="AB6" i="5"/>
  <c r="O6" i="5"/>
  <c r="P6" i="5" s="1"/>
  <c r="Q6" i="5" s="1"/>
  <c r="O20" i="3"/>
  <c r="P20" i="3" s="1"/>
  <c r="Q20" i="3" s="1"/>
  <c r="Z20" i="3"/>
  <c r="AA20" i="3"/>
  <c r="S20" i="3"/>
  <c r="AB20" i="3" s="1" a="1"/>
  <c r="AB20" i="3" s="1"/>
  <c r="AC20" i="3" s="1"/>
  <c r="Q5" i="3"/>
  <c r="T5" i="3"/>
  <c r="U5" i="3"/>
  <c r="V5" i="3"/>
  <c r="T11" i="3"/>
  <c r="Q11" i="3"/>
  <c r="V11" i="3"/>
  <c r="U11" i="3"/>
  <c r="Q4" i="3"/>
  <c r="T4" i="3"/>
  <c r="U4" i="3"/>
  <c r="V4" i="3"/>
  <c r="E30" i="3"/>
  <c r="G29" i="3"/>
  <c r="H28" i="3"/>
  <c r="M12" i="3"/>
  <c r="J12" i="3"/>
  <c r="E13" i="3"/>
  <c r="T10" i="3"/>
  <c r="U10" i="3"/>
  <c r="V10" i="3"/>
  <c r="Q10" i="3"/>
  <c r="W10" i="3" s="1"/>
  <c r="L27" i="3"/>
  <c r="M27" i="3" s="1"/>
  <c r="C35" i="8" l="1"/>
  <c r="B45" i="8" s="1" a="1"/>
  <c r="V22" i="3"/>
  <c r="S17" i="3"/>
  <c r="AB17" i="3" s="1" a="1"/>
  <c r="AB17" i="3" s="1"/>
  <c r="AC17" i="3" s="1"/>
  <c r="AA17" i="3"/>
  <c r="Z17" i="3"/>
  <c r="Z9" i="5"/>
  <c r="AC9" i="5" a="1"/>
  <c r="AC9" i="5" s="1"/>
  <c r="AD9" i="5" s="1"/>
  <c r="V24" i="3"/>
  <c r="S19" i="3"/>
  <c r="AB19" i="3" s="1" a="1"/>
  <c r="AB19" i="3" s="1"/>
  <c r="AC19" i="3" s="1"/>
  <c r="Z19" i="3"/>
  <c r="AA19" i="3"/>
  <c r="Z8" i="5"/>
  <c r="AC8" i="5" a="1"/>
  <c r="AC8" i="5" s="1"/>
  <c r="AD8" i="5" s="1"/>
  <c r="AA18" i="3"/>
  <c r="Z18" i="3"/>
  <c r="S18" i="3"/>
  <c r="AB18" i="3" s="1" a="1"/>
  <c r="AB18" i="3" s="1"/>
  <c r="AC18" i="3" s="1"/>
  <c r="V23" i="3"/>
  <c r="AA3" i="3"/>
  <c r="T22" i="3"/>
  <c r="Z3" i="3"/>
  <c r="U22" i="3"/>
  <c r="S3" i="3"/>
  <c r="W3" i="3"/>
  <c r="W22" i="3" s="1"/>
  <c r="AA6" i="3"/>
  <c r="AA25" i="3" s="1"/>
  <c r="T25" i="3"/>
  <c r="Z6" i="3"/>
  <c r="Z25" i="3" s="1"/>
  <c r="U25" i="3"/>
  <c r="S6" i="3"/>
  <c r="S25" i="3" s="1"/>
  <c r="W6" i="3"/>
  <c r="W25" i="3" s="1"/>
  <c r="Z6" i="5"/>
  <c r="AC6" i="5" a="1"/>
  <c r="AC6" i="5" s="1"/>
  <c r="AD6" i="5" s="1"/>
  <c r="AC7" i="5" a="1"/>
  <c r="AC7" i="5" s="1"/>
  <c r="AD7" i="5" s="1"/>
  <c r="Z7" i="5"/>
  <c r="AA5" i="3"/>
  <c r="T24" i="3"/>
  <c r="Z5" i="3"/>
  <c r="U24" i="3"/>
  <c r="AA4" i="3"/>
  <c r="T23" i="3"/>
  <c r="Z4" i="3"/>
  <c r="U23" i="3"/>
  <c r="S5" i="3"/>
  <c r="W5" i="3"/>
  <c r="W24" i="3" s="1"/>
  <c r="S11" i="3"/>
  <c r="W11" i="3"/>
  <c r="Z11" i="3"/>
  <c r="W4" i="3"/>
  <c r="W23" i="3" s="1"/>
  <c r="S4" i="3"/>
  <c r="AA11" i="3"/>
  <c r="N12" i="3"/>
  <c r="O12" i="3" s="1"/>
  <c r="P12" i="3" s="1"/>
  <c r="AA10" i="3"/>
  <c r="Z10" i="3"/>
  <c r="E31" i="3"/>
  <c r="G30" i="3"/>
  <c r="H29" i="3"/>
  <c r="J13" i="3"/>
  <c r="M13" i="3"/>
  <c r="L28" i="3"/>
  <c r="M28" i="3" s="1"/>
  <c r="S10" i="3"/>
  <c r="B45" i="8" l="1"/>
  <c r="AA22" i="3"/>
  <c r="C49" i="8" a="1"/>
  <c r="C49" i="8" s="1"/>
  <c r="Z22" i="3"/>
  <c r="S22" i="3"/>
  <c r="AA24" i="3"/>
  <c r="S24" i="3"/>
  <c r="Z24" i="3"/>
  <c r="AA23" i="3"/>
  <c r="Z23" i="3"/>
  <c r="S23" i="3"/>
  <c r="Z10" i="5"/>
  <c r="Z12" i="5" s="1"/>
  <c r="Z13" i="5" s="1"/>
  <c r="Z14" i="5" s="1"/>
  <c r="Z15" i="5" s="1"/>
  <c r="M23" i="5" s="1"/>
  <c r="M27" i="5" s="1"/>
  <c r="N13" i="3"/>
  <c r="E32" i="3"/>
  <c r="G31" i="3"/>
  <c r="H30" i="3"/>
  <c r="V12" i="3"/>
  <c r="T12" i="3"/>
  <c r="Q12" i="3"/>
  <c r="U12" i="3"/>
  <c r="L29" i="3"/>
  <c r="M29" i="3" s="1"/>
  <c r="M26" i="5" l="1"/>
  <c r="M28" i="5"/>
  <c r="M29" i="5"/>
  <c r="S27" i="5" a="1"/>
  <c r="O27" i="5"/>
  <c r="P27" i="5" s="1"/>
  <c r="Q27" i="5" s="1"/>
  <c r="O13" i="3"/>
  <c r="P13" i="3" s="1"/>
  <c r="AA12" i="3"/>
  <c r="S12" i="3"/>
  <c r="W12" i="3"/>
  <c r="Z12" i="3"/>
  <c r="E33" i="3"/>
  <c r="G32" i="3"/>
  <c r="H31" i="3"/>
  <c r="L30" i="3"/>
  <c r="M30" i="3" s="1"/>
  <c r="S26" i="5" l="1" a="1"/>
  <c r="O26" i="5"/>
  <c r="P26" i="5" s="1"/>
  <c r="Q26" i="5" s="1"/>
  <c r="O29" i="5"/>
  <c r="P29" i="5" s="1"/>
  <c r="Q29" i="5" s="1"/>
  <c r="S29" i="5" a="1"/>
  <c r="O28" i="5"/>
  <c r="P28" i="5" s="1"/>
  <c r="Q28" i="5" s="1"/>
  <c r="S28" i="5" a="1"/>
  <c r="AA27" i="5"/>
  <c r="AB27" i="5"/>
  <c r="S27" i="5"/>
  <c r="Q13" i="3"/>
  <c r="T13" i="3"/>
  <c r="V13" i="3"/>
  <c r="U13" i="3"/>
  <c r="G33" i="3"/>
  <c r="E34" i="3"/>
  <c r="H32" i="3"/>
  <c r="L31" i="3"/>
  <c r="M31" i="3" s="1"/>
  <c r="AA26" i="5" l="1"/>
  <c r="S26" i="5"/>
  <c r="AB26" i="5"/>
  <c r="AB29" i="5"/>
  <c r="S29" i="5"/>
  <c r="AA29" i="5"/>
  <c r="S28" i="5"/>
  <c r="AA28" i="5"/>
  <c r="AB28" i="5"/>
  <c r="AC27" i="5" a="1"/>
  <c r="AC27" i="5" s="1"/>
  <c r="AD27" i="5" s="1"/>
  <c r="Z27" i="5"/>
  <c r="W13" i="3"/>
  <c r="S13" i="3"/>
  <c r="AA13" i="3"/>
  <c r="Z13" i="3"/>
  <c r="L33" i="3"/>
  <c r="M33" i="3" s="1"/>
  <c r="H33" i="3"/>
  <c r="G34" i="3"/>
  <c r="E35" i="3"/>
  <c r="G35" i="3" s="1"/>
  <c r="L32" i="3"/>
  <c r="M32" i="3" s="1"/>
  <c r="Z29" i="5" l="1"/>
  <c r="AC29" i="5" a="1"/>
  <c r="AC29" i="5" s="1"/>
  <c r="AD29" i="5" s="1"/>
  <c r="Z28" i="5"/>
  <c r="AC28" i="5" a="1"/>
  <c r="AC28" i="5" s="1"/>
  <c r="AD28" i="5" s="1"/>
  <c r="Z26" i="5"/>
  <c r="AC26" i="5" a="1"/>
  <c r="AC26" i="5" s="1"/>
  <c r="AD26" i="5" s="1"/>
  <c r="H34" i="3"/>
  <c r="L34" i="3"/>
  <c r="M34" i="3" s="1"/>
  <c r="H35" i="3"/>
  <c r="Z30" i="5" l="1"/>
  <c r="Z31" i="5" s="1"/>
  <c r="AG13" i="3" a="1"/>
  <c r="AC12" i="3" a="1"/>
  <c r="AC12" i="3" s="1"/>
  <c r="AG12" i="3" a="1"/>
  <c r="AC13" i="3" a="1"/>
  <c r="AC13" i="3" s="1"/>
  <c r="AC10" i="3" a="1"/>
  <c r="AC10" i="3" s="1"/>
  <c r="AG10" i="3" a="1"/>
  <c r="AG11" i="3" a="1"/>
  <c r="AC11" i="3" a="1"/>
  <c r="AC11" i="3" s="1"/>
  <c r="L35" i="3"/>
  <c r="M35" i="3" s="1"/>
  <c r="AG13" i="3" l="1"/>
  <c r="AK13" i="3"/>
  <c r="AM13" i="3" s="1"/>
  <c r="AN13" i="3" s="1"/>
  <c r="AO13" i="3" s="1"/>
  <c r="AG12" i="3"/>
  <c r="AK12" i="3"/>
  <c r="AM12" i="3" s="1"/>
  <c r="AN12" i="3" s="1"/>
  <c r="AO12" i="3" s="1"/>
  <c r="AG10" i="3"/>
  <c r="AK10" i="3"/>
  <c r="AM10" i="3" s="1"/>
  <c r="AN10" i="3" s="1"/>
  <c r="AO10" i="3" s="1"/>
  <c r="AK11" i="3"/>
  <c r="AM11" i="3" s="1"/>
  <c r="AN11" i="3" s="1"/>
  <c r="AO11" i="3" s="1"/>
  <c r="AG1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<sst xmlns="http://schemas.openxmlformats.org/spreadsheetml/2006/main" count="306" uniqueCount="121">
  <si>
    <t>Name</t>
  </si>
  <si>
    <t>Lambda</t>
  </si>
  <si>
    <t>BRISTO.OPT_EURO</t>
  </si>
  <si>
    <t>BRISTO.OPT_IVOL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</si>
  <si>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</si>
  <si>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</si>
  <si>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</si>
  <si>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</si>
  <si>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</si>
  <si>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</si>
  <si>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</si>
  <si>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</si>
  <si>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</si>
  <si>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</si>
  <si>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</si>
  <si>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</si>
  <si>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discount factor</t>
  </si>
  <si>
    <t>borrow factor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</si>
  <si>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</si>
  <si>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</si>
  <si>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</si>
  <si>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</si>
  <si>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</si>
  <si>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</si>
  <si>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</si>
  <si>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</si>
  <si>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</si>
  <si>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</si>
  <si>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</si>
  <si>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</si>
  <si>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</si>
  <si>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</si>
  <si>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</si>
  <si>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</si>
  <si>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</si>
  <si>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</si>
  <si>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</si>
  <si>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</si>
  <si>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</si>
  <si>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</si>
  <si>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PDGVT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</si>
  <si>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</si>
  <si>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</si>
  <si>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</si>
  <si>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</si>
  <si>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</si>
  <si>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</si>
  <si>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</si>
  <si>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</si>
  <si>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</si>
  <si>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</si>
  <si>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</si>
  <si>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</si>
  <si>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</si>
  <si>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</si>
  <si>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</si>
  <si>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</si>
  <si>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</si>
  <si>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</si>
  <si>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</si>
  <si>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financeiro</t>
  </si>
  <si>
    <t>spot fixing</t>
  </si>
  <si>
    <t>pu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</si>
  <si>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</si>
  <si>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</si>
  <si>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</si>
  <si>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</si>
  <si>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</si>
  <si>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</si>
  <si>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</si>
  <si>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</si>
  <si>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</si>
  <si>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</si>
  <si>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</si>
  <si>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x</t>
  </si>
  <si>
    <t>y</t>
  </si>
  <si>
    <t>add</t>
  </si>
  <si>
    <t>sub</t>
  </si>
  <si>
    <t>mult</t>
  </si>
  <si>
    <t>div</t>
  </si>
  <si>
    <t>f(x)</t>
  </si>
  <si>
    <t>bisect</t>
  </si>
  <si>
    <t>bisect method</t>
  </si>
  <si>
    <t>newton rapson - method</t>
  </si>
  <si>
    <t>BRISTO.OLS</t>
  </si>
  <si>
    <t>b</t>
  </si>
  <si>
    <t>sse</t>
  </si>
  <si>
    <t>ssr</t>
  </si>
  <si>
    <t>ssto</t>
  </si>
  <si>
    <t>r^2</t>
  </si>
  <si>
    <t>std error</t>
  </si>
  <si>
    <t>BRISTO.OLS_VARIANCE</t>
  </si>
  <si>
    <t>BRISTO.OLS_COVMATRIX</t>
  </si>
  <si>
    <t>BRISTO.MDIAG</t>
  </si>
  <si>
    <t>mse</t>
  </si>
  <si>
    <t>weight</t>
  </si>
  <si>
    <t>t-stat</t>
  </si>
  <si>
    <t>P&gt;|t|</t>
  </si>
  <si>
    <t>adj. r^2</t>
  </si>
  <si>
    <t>lim_inf</t>
  </si>
  <si>
    <t>lim_sup</t>
  </si>
  <si>
    <t>f-stat</t>
  </si>
  <si>
    <t>kurtosis</t>
  </si>
  <si>
    <t>skew</t>
  </si>
  <si>
    <t>y_est</t>
  </si>
  <si>
    <t>x_1</t>
  </si>
  <si>
    <t>x+2</t>
  </si>
  <si>
    <t>x_3</t>
  </si>
  <si>
    <t>x_4</t>
  </si>
  <si>
    <t>x_5</t>
  </si>
  <si>
    <t>COMPLEX NUMBERS - OPERATIONS</t>
  </si>
  <si>
    <t>ROOT FINDER METHODS</t>
  </si>
  <si>
    <t>OLS - WEIGHTED OLS</t>
  </si>
  <si>
    <t>REGRESSION 1</t>
  </si>
  <si>
    <t>REGRESSION 2</t>
  </si>
  <si>
    <t>NELDER-MEAD</t>
  </si>
  <si>
    <t>BRISTO.NELDER_MEAD</t>
  </si>
  <si>
    <t>x1</t>
  </si>
  <si>
    <t>x2</t>
  </si>
  <si>
    <t>y_min</t>
  </si>
  <si>
    <t>x3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</si>
</sst>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0000"/>
    <numFmt numFmtId="165" formatCode="0.0000%"/>
    <numFmt numFmtId="166" formatCode="0.000000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3" formatCode="0.000%"/>
    <numFmt numFmtId="174" formatCode="#,##0.0000000000000000"/>
    <numFmt numFmtId="175" formatCode="#,##0.000000000000"/>
    <numFmt numFmtId="176" formatCode="#,##0.000000000000000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0" fontId="4" fillId="0" borderId="0"/>
    <xf numFmtId="0" fontId="3" fillId="0" borderId="0"/>
  </cellStyleXfs>
  <cellXfs count="60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4" fontId="0" fillId="0" borderId="0" xfId="0" applyNumberFormat="1"/>
    <xf numFmtId="174" fontId="0" fillId="0" borderId="0" xfId="0" applyNumberFormat="1"/>
    <xf numFmtId="175" fontId="0" fillId="0" borderId="0" xfId="0" applyNumberFormat="1"/>
    <xf numFmtId="176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4" fontId="0" fillId="0" borderId="11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170" fontId="0" fillId="0" borderId="10" xfId="0" applyNumberFormat="1" applyBorder="1"/>
    <xf numFmtId="170" fontId="0" fillId="0" borderId="6" xfId="0" applyNumberFormat="1" applyBorder="1"/>
    <xf numFmtId="170" fontId="0" fillId="0" borderId="11" xfId="0" applyNumberFormat="1" applyBorder="1"/>
    <xf numFmtId="170" fontId="0" fillId="0" borderId="7" xfId="0" applyNumberFormat="1" applyBorder="1"/>
    <xf numFmtId="170" fontId="0" fillId="0" borderId="8" xfId="0" applyNumberFormat="1" applyBorder="1"/>
    <xf numFmtId="4" fontId="1" fillId="0" borderId="13" xfId="0" applyNumberFormat="1" applyFont="1" applyBorder="1"/>
    <xf numFmtId="170" fontId="1" fillId="0" borderId="12" xfId="0" applyNumberFormat="1" applyFont="1" applyBorder="1"/>
    <xf numFmtId="170" fontId="1" fillId="0" borderId="13" xfId="0" applyNumberFormat="1" applyFont="1" applyBorder="1"/>
    <xf numFmtId="170" fontId="1" fillId="0" borderId="14" xfId="0" applyNumberFormat="1" applyFont="1" applyBorder="1"/>
    <xf numFmtId="0" fontId="1" fillId="0" borderId="0" xfId="0" applyFont="1" applyAlignment="1">
      <alignment horizontal="center"/>
    </xf>
    <xf numFmtId="0" fontId="0" fillId="0" borderId="0" xfId="0" applyBorder="1"/>
    <xf numFmtId="4" fontId="1" fillId="0" borderId="14" xfId="0" applyNumberFormat="1" applyFont="1" applyBorder="1"/>
    <xf numFmtId="4" fontId="0" fillId="0" borderId="13" xfId="0" applyNumberFormat="1" applyBorder="1"/>
    <xf numFmtId="4" fontId="0" fillId="0" borderId="14" xfId="0" applyNumberFormat="1" applyBorder="1"/>
    <xf numFmtId="4" fontId="0" fillId="0" borderId="10" xfId="0" applyNumberFormat="1" applyBorder="1"/>
    <xf numFmtId="4" fontId="0" fillId="0" borderId="0" xfId="0" applyNumberFormat="1" applyBorder="1"/>
    <xf numFmtId="4" fontId="0" fillId="0" borderId="6" xfId="0" applyNumberFormat="1" applyBorder="1"/>
    <xf numFmtId="4" fontId="0" fillId="0" borderId="12" xfId="0" applyNumberFormat="1" applyBorder="1"/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Structure" Target="richData/rdrichvaluestructur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'ch1'!$C$34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'ch1'!$B$35:$B$42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'ch1'!$C$35:$C$42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7-4076-951A-E792083A4805}"/>
            </c:ext>
          </c:extLst>
        </c:ser>
        <c:ser>
          <c:idx val="1"/>
          <c:order val="1"/>
          <c:tx>
            <c:v>ols_y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'ch1'!$B$49:$B$70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'ch1'!$C$49:$C$70</c:f>
              <c:numCache>
                <c:formatCode>General</c:formatCode>
                <c:ptCount val="22"/>
                <c:pt idx="0">
                  <c:v>7.3333333333333446</c:v>
                </c:pt>
                <c:pt idx="1">
                  <c:v>9.2777777777777892</c:v>
                </c:pt>
                <c:pt idx="2">
                  <c:v>11.222222222222234</c:v>
                </c:pt>
                <c:pt idx="3">
                  <c:v>13.166666666666679</c:v>
                </c:pt>
                <c:pt idx="4">
                  <c:v>15.111111111111123</c:v>
                </c:pt>
                <c:pt idx="5">
                  <c:v>17.055555555555568</c:v>
                </c:pt>
                <c:pt idx="6">
                  <c:v>19.000000000000014</c:v>
                </c:pt>
                <c:pt idx="7">
                  <c:v>20.944444444444457</c:v>
                </c:pt>
                <c:pt idx="8">
                  <c:v>22.8888888888889</c:v>
                </c:pt>
                <c:pt idx="9">
                  <c:v>24.833333333333346</c:v>
                </c:pt>
                <c:pt idx="10">
                  <c:v>26.777777777777793</c:v>
                </c:pt>
                <c:pt idx="11">
                  <c:v>28.722222222222236</c:v>
                </c:pt>
                <c:pt idx="12">
                  <c:v>30.666666666666679</c:v>
                </c:pt>
                <c:pt idx="13">
                  <c:v>32.611111111111128</c:v>
                </c:pt>
                <c:pt idx="14">
                  <c:v>34.555555555555571</c:v>
                </c:pt>
                <c:pt idx="15">
                  <c:v>36.500000000000014</c:v>
                </c:pt>
                <c:pt idx="16">
                  <c:v>38.444444444444457</c:v>
                </c:pt>
                <c:pt idx="17">
                  <c:v>40.3888888888889</c:v>
                </c:pt>
                <c:pt idx="18">
                  <c:v>42.33333333333335</c:v>
                </c:pt>
                <c:pt idx="19">
                  <c:v>44.277777777777793</c:v>
                </c:pt>
                <c:pt idx="20">
                  <c:v>46.222222222222236</c:v>
                </c:pt>
                <c:pt idx="21">
                  <c:v>48.166666666666686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7-4076-951A-E792083A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434066</xdr:colOff>
      <xdr:row>47</xdr:row>
      <xdr:rowOff>174171</xdr:rowOff>
    </xdr:from>
    <xdr:to>
      <xdr:col>12</xdr:col>
      <xdr:colOff>326572</xdr:colOff>
      <xdr:row>69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2A05-0E4F-5A73-1349-339CE9EB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16" totalsRowShown="0">
  <autoFilter ref="B4:C16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J1014"/>
  <sheetViews>
    <sheetView workbookViewId="0">
      <selection activeCell="D21" sqref="D21"/>
    </sheetView>
  </sheetViews>
  <sheetFormatPr defaultRowHeight="15" x14ac:dyDescent="0.25"/>
  <cols>
    <col min="2" max="2" width="24.7109375" customWidth="1"/>
    <col min="3" max="3" width="16.28515625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4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57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2</v>
      </c>
      <c r="C7" t="e" cm="1" vm="1">
        <f t="array" ref="C7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f>
        <v>#VALUE!</v>
      </c>
      <c r="G7" s="2"/>
    </row>
    <row r="8" spans="2:7" x14ac:dyDescent="0.25">
      <c r="B8" t="s">
        <v>3</v>
      </c>
      <c r="C8" t="e" vm="1">
        <f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f>
        <v>#VALUE!</v>
      </c>
      <c r="G8" s="2"/>
    </row>
    <row r="9" spans="2:7" x14ac:dyDescent="0.25">
      <c r="B9" t="s">
        <v>64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  <c r="G9" s="2"/>
    </row>
    <row r="10" spans="2:7" x14ac:dyDescent="0.25">
      <c r="B10" t="s">
        <v>65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  <c r="F10" cm="1">
        <f t="array" ref="F10:F14">_xlfn.SEQUENCE(5,,1,3)</f>
        <v>1</v>
      </c>
      <c r="G10" s="2"/>
    </row>
    <row r="11" spans="2:7" x14ac:dyDescent="0.25">
      <c r="B11" t="s">
        <v>66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  <c r="F11">
        <v>4</v>
      </c>
      <c r="G11" s="2"/>
    </row>
    <row r="12" spans="2:7" x14ac:dyDescent="0.25">
      <c r="B12" t="s">
        <v>84</v>
      </c>
      <c r="C12" t="e" cm="1" vm="1">
        <f t="array" ref="C12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f>
        <v>#VALUE!</v>
      </c>
      <c r="F12">
        <v>7</v>
      </c>
      <c r="G12" s="2"/>
    </row>
    <row r="13" spans="2:7" x14ac:dyDescent="0.25">
      <c r="B13" t="s">
        <v>91</v>
      </c>
      <c r="C13" t="e" cm="1" vm="1">
        <f t="array" ref="C13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f>
        <v>#VALUE!</v>
      </c>
      <c r="F13">
        <v>10</v>
      </c>
      <c r="G13" s="2"/>
    </row>
    <row r="14" spans="2:7" x14ac:dyDescent="0.25">
      <c r="B14" t="s">
        <v>92</v>
      </c>
      <c r="C14" t="e" cm="1" vm="1">
        <f t="array" ref="C14">_xlfn.LAMBDA(_xlpm.x_range,_xlop.weight,
  _xlfn.LET(
    _xlpm.W,IF(_xlfn.ISOMITTED(_xlpm.weight),BRISTO.MDIAG(_xlfn.SEQUENCE(ROWS(_xlpm.x_range),,1,0)),BRISTO.MDIAG(_xlpm.weight)),
    MINVERSE(MMULT(MMULT(TRANSPOSE(_xlpm.x_range),_xlpm.W),_xlpm.x_range))
  )
)</f>
        <v>#VALUE!</v>
      </c>
      <c r="F14">
        <v>13</v>
      </c>
      <c r="G14" s="2"/>
    </row>
    <row r="15" spans="2:7" x14ac:dyDescent="0.25">
      <c r="B15" t="s">
        <v>93</v>
      </c>
      <c r="C15" t="e" cm="1" vm="1">
        <f t="array" ref="C15">_xlfn.LAMBDA(_xlpm.array,
  _xlfn.LET(
    _xlpm.rows,ROWS(_xlpm.array),
    _xlfn.MAKEARRAY(_xlpm.rows,_xlpm.rows,_xlfn.LAMBDA(_xlpm.i,_xlpm.j,IF(_xlpm.i=_xlpm.j,INDEX(_xlpm.array,_xlpm.i),0)))
  )
)</f>
        <v>#VALUE!</v>
      </c>
      <c r="G15" s="2"/>
    </row>
    <row r="16" spans="2:7" x14ac:dyDescent="0.25">
      <c r="B16" t="s">
        <v>116</v>
      </c>
      <c r="C16" t="e" cm="1" vm="1">
        <f t="array" ref="C16">_xlfn.LAMBDA(_xlpm.fn,_xlpm.ini,_xlop.tol,_xlop.max_iter,_xlop.debug,
  _xlfn.LET(
     _xlpm.tol,IF(_xlfn.ISOMITTED(_xlpm.tol),10^-10,_xlpm.tol),
     _xlpm.max_iter,IF(_xlfn.ISOMITTED(_xlpm.max_iter),1000,_xlpm.max_iter),
     _xlpm.debug,IF(_xlfn.ISOMITTED(_xlpm.debug),FALSE,_xlpm.debug),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_xlfn._xlws.SORT(_xlfn.HSTACK(_xlfn.BYROW(_xlpm.ini,_xlpm.fn),_xlpm.ini),1),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f>
        <v>#VALUE!</v>
      </c>
      <c r="G16" s="2"/>
    </row>
    <row r="17" spans="6:10" x14ac:dyDescent="0.25">
      <c r="G17" s="2"/>
    </row>
    <row r="18" spans="6:10" x14ac:dyDescent="0.25">
      <c r="F18" s="6" cm="1">
        <f t="array" ref="F18:H20">BRISTO.MDIAG(_xlfn.SEQUENCE(3,,1,0))</f>
        <v>1</v>
      </c>
      <c r="G18" s="6">
        <v>0</v>
      </c>
      <c r="H18" s="6">
        <v>0</v>
      </c>
    </row>
    <row r="19" spans="6:10" x14ac:dyDescent="0.25">
      <c r="F19" s="6">
        <v>0</v>
      </c>
      <c r="G19" s="6">
        <v>1</v>
      </c>
      <c r="H19" s="6">
        <v>0</v>
      </c>
    </row>
    <row r="20" spans="6:10" x14ac:dyDescent="0.25">
      <c r="F20" s="6">
        <v>0</v>
      </c>
      <c r="G20" s="6">
        <v>0</v>
      </c>
      <c r="H20" s="6">
        <v>1</v>
      </c>
    </row>
    <row r="21" spans="6:10" x14ac:dyDescent="0.25">
      <c r="G21" s="2"/>
    </row>
    <row r="22" spans="6:10" x14ac:dyDescent="0.25">
      <c r="F22" s="6" cm="1">
        <f t="array" ref="F22:J26">BRISTO.MDIAG(_xlfn.ANCHORARRAY(F10))</f>
        <v>1</v>
      </c>
      <c r="G22" s="6">
        <v>0</v>
      </c>
      <c r="H22" s="6">
        <v>0</v>
      </c>
      <c r="I22" s="6">
        <v>0</v>
      </c>
      <c r="J22" s="6">
        <v>0</v>
      </c>
    </row>
    <row r="23" spans="6:10" x14ac:dyDescent="0.25">
      <c r="F23" s="6">
        <v>0</v>
      </c>
      <c r="G23" s="6">
        <v>4</v>
      </c>
      <c r="H23" s="6">
        <v>0</v>
      </c>
      <c r="I23" s="6">
        <v>0</v>
      </c>
      <c r="J23" s="6">
        <v>0</v>
      </c>
    </row>
    <row r="24" spans="6:10" x14ac:dyDescent="0.25">
      <c r="F24" s="6">
        <v>0</v>
      </c>
      <c r="G24" s="6">
        <v>0</v>
      </c>
      <c r="H24" s="6">
        <v>7</v>
      </c>
      <c r="I24" s="6">
        <v>0</v>
      </c>
      <c r="J24" s="6">
        <v>0</v>
      </c>
    </row>
    <row r="25" spans="6:10" x14ac:dyDescent="0.25">
      <c r="F25" s="6">
        <v>0</v>
      </c>
      <c r="G25" s="6">
        <v>0</v>
      </c>
      <c r="H25" s="6">
        <v>0</v>
      </c>
      <c r="I25" s="6">
        <v>10</v>
      </c>
      <c r="J25" s="6">
        <v>0</v>
      </c>
    </row>
    <row r="26" spans="6:10" x14ac:dyDescent="0.25">
      <c r="F26" s="6">
        <v>0</v>
      </c>
      <c r="G26" s="6">
        <v>0</v>
      </c>
      <c r="H26" s="6">
        <v>0</v>
      </c>
      <c r="I26" s="6">
        <v>0</v>
      </c>
      <c r="J26" s="6">
        <v>13</v>
      </c>
    </row>
    <row r="27" spans="6:10" x14ac:dyDescent="0.25">
      <c r="G27" s="2"/>
    </row>
    <row r="28" spans="6:10" x14ac:dyDescent="0.25">
      <c r="G28" s="2"/>
    </row>
    <row r="29" spans="6:10" x14ac:dyDescent="0.25">
      <c r="G29" s="2"/>
    </row>
    <row r="30" spans="6:10" x14ac:dyDescent="0.25">
      <c r="G30" s="2"/>
    </row>
    <row r="31" spans="6:10" x14ac:dyDescent="0.25">
      <c r="G31" s="2"/>
    </row>
    <row r="32" spans="6:10" x14ac:dyDescent="0.25">
      <c r="G32" s="2"/>
    </row>
    <row r="33" spans="7:9" x14ac:dyDescent="0.25">
      <c r="G33" s="2"/>
    </row>
    <row r="34" spans="7:9" x14ac:dyDescent="0.25">
      <c r="G34" s="2"/>
      <c r="H34" cm="1">
        <f t="array" ref="H34:I36">_xlfn.HSTACK(F18:F19,G18:G20)</f>
        <v>1</v>
      </c>
      <c r="I34">
        <v>0</v>
      </c>
    </row>
    <row r="35" spans="7:9" x14ac:dyDescent="0.25">
      <c r="G35" s="2"/>
      <c r="H35">
        <v>0</v>
      </c>
      <c r="I35">
        <v>1</v>
      </c>
    </row>
    <row r="36" spans="7:9" x14ac:dyDescent="0.25">
      <c r="G36" s="2"/>
      <c r="H36" t="e">
        <v>#N/A</v>
      </c>
      <c r="I36">
        <v>0</v>
      </c>
    </row>
    <row r="37" spans="7:9" x14ac:dyDescent="0.25">
      <c r="G37" s="2"/>
    </row>
    <row r="38" spans="7:9" x14ac:dyDescent="0.25">
      <c r="G38" s="2"/>
    </row>
    <row r="39" spans="7:9" x14ac:dyDescent="0.25">
      <c r="G39" s="2"/>
    </row>
    <row r="40" spans="7:9" x14ac:dyDescent="0.25">
      <c r="G40" s="2"/>
    </row>
    <row r="41" spans="7:9" x14ac:dyDescent="0.25">
      <c r="G41" s="2"/>
    </row>
    <row r="42" spans="7:9" x14ac:dyDescent="0.25">
      <c r="G42" s="2"/>
    </row>
    <row r="43" spans="7:9" x14ac:dyDescent="0.25">
      <c r="G43" s="2"/>
    </row>
    <row r="44" spans="7:9" x14ac:dyDescent="0.25">
      <c r="G44" s="2"/>
    </row>
    <row r="45" spans="7:9" x14ac:dyDescent="0.25">
      <c r="G45" s="2"/>
    </row>
    <row r="46" spans="7:9" x14ac:dyDescent="0.25">
      <c r="G46" s="2"/>
    </row>
    <row r="47" spans="7:9" x14ac:dyDescent="0.25">
      <c r="G47" s="2"/>
    </row>
    <row r="48" spans="7:9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B2:V156"/>
  <sheetViews>
    <sheetView showGridLines="0" tabSelected="1" topLeftCell="A90" zoomScale="85" zoomScaleNormal="85" workbookViewId="0">
      <selection activeCell="E104" sqref="E104"/>
    </sheetView>
  </sheetViews>
  <sheetFormatPr defaultRowHeight="15" x14ac:dyDescent="0.25"/>
  <cols>
    <col min="2" max="2" width="12.5703125" customWidth="1"/>
    <col min="4" max="4" width="13.140625" customWidth="1"/>
    <col min="5" max="5" width="6.7109375" bestFit="1" customWidth="1"/>
    <col min="6" max="6" width="7.42578125" bestFit="1" customWidth="1"/>
    <col min="7" max="7" width="8" bestFit="1" customWidth="1"/>
    <col min="8" max="8" width="10.28515625" bestFit="1" customWidth="1"/>
    <col min="10" max="10" width="12" bestFit="1" customWidth="1"/>
    <col min="14" max="14" width="10.5703125" bestFit="1" customWidth="1"/>
    <col min="15" max="15" width="9.140625" bestFit="1" customWidth="1"/>
    <col min="16" max="16" width="10.5703125" bestFit="1" customWidth="1"/>
    <col min="18" max="18" width="23.5703125" bestFit="1" customWidth="1"/>
    <col min="20" max="20" width="23.140625" bestFit="1" customWidth="1"/>
  </cols>
  <sheetData>
    <row r="2" spans="2:5" x14ac:dyDescent="0.25">
      <c r="B2" s="14" t="s">
        <v>110</v>
      </c>
      <c r="E2" s="14"/>
    </row>
    <row r="4" spans="2:5" x14ac:dyDescent="0.25">
      <c r="B4" s="22" t="s">
        <v>67</v>
      </c>
      <c r="C4" s="25">
        <v>11</v>
      </c>
      <c r="D4" s="26">
        <v>-3</v>
      </c>
    </row>
    <row r="5" spans="2:5" x14ac:dyDescent="0.25">
      <c r="B5" s="23" t="s">
        <v>68</v>
      </c>
      <c r="C5">
        <v>3</v>
      </c>
      <c r="D5" s="27">
        <v>4</v>
      </c>
    </row>
    <row r="6" spans="2:5" x14ac:dyDescent="0.25">
      <c r="B6" s="23" t="s">
        <v>69</v>
      </c>
      <c r="C6" t="str">
        <f>COMPLEX(C4,C5)</f>
        <v>11+3i</v>
      </c>
      <c r="D6" s="27" t="str">
        <f>COMPLEX(D4,D5)</f>
        <v>-3+4i</v>
      </c>
    </row>
    <row r="7" spans="2:5" x14ac:dyDescent="0.25">
      <c r="B7" s="23" t="s">
        <v>76</v>
      </c>
      <c r="C7" t="str">
        <f>IMSUM(C6:D6)</f>
        <v>8+7i</v>
      </c>
      <c r="D7" s="27"/>
    </row>
    <row r="8" spans="2:5" x14ac:dyDescent="0.25">
      <c r="B8" s="23" t="s">
        <v>77</v>
      </c>
      <c r="C8" t="str">
        <f>IMSUB(C6,D6)</f>
        <v>14-i</v>
      </c>
      <c r="D8" s="27"/>
    </row>
    <row r="9" spans="2:5" x14ac:dyDescent="0.25">
      <c r="B9" s="23" t="s">
        <v>78</v>
      </c>
      <c r="C9" t="str">
        <f>IMPRODUCT(C6:D6)</f>
        <v>-45+35i</v>
      </c>
      <c r="D9" s="27"/>
    </row>
    <row r="10" spans="2:5" x14ac:dyDescent="0.25">
      <c r="B10" s="24" t="s">
        <v>79</v>
      </c>
      <c r="C10" s="28" t="str">
        <f>IMDIV(C6,D6)</f>
        <v>-0.84-2.12i</v>
      </c>
      <c r="D10" s="29"/>
    </row>
    <row r="12" spans="2:5" x14ac:dyDescent="0.25">
      <c r="B12" s="22" t="s">
        <v>67</v>
      </c>
      <c r="C12" s="30">
        <v>4</v>
      </c>
      <c r="D12" s="25"/>
      <c r="E12" s="26"/>
    </row>
    <row r="13" spans="2:5" x14ac:dyDescent="0.25">
      <c r="B13" s="23" t="s">
        <v>68</v>
      </c>
      <c r="C13" s="31">
        <v>5</v>
      </c>
      <c r="E13" s="27"/>
    </row>
    <row r="14" spans="2:5" x14ac:dyDescent="0.25">
      <c r="B14" s="23" t="s">
        <v>69</v>
      </c>
      <c r="C14" s="31" t="str">
        <f>COMPLEX(C12,C13)</f>
        <v>4+5i</v>
      </c>
      <c r="E14" s="27"/>
    </row>
    <row r="15" spans="2:5" x14ac:dyDescent="0.25">
      <c r="B15" s="23" t="s">
        <v>70</v>
      </c>
      <c r="C15" s="31" t="str">
        <f>IMCONJUGATE(C14)</f>
        <v>4-5i</v>
      </c>
      <c r="E15" s="27"/>
    </row>
    <row r="16" spans="2:5" x14ac:dyDescent="0.25">
      <c r="B16" s="23" t="s">
        <v>71</v>
      </c>
      <c r="C16" s="31" t="str">
        <f>IMSQRT(C14)</f>
        <v>2.2806933416653+1.09615788950152i</v>
      </c>
      <c r="E16" s="27"/>
    </row>
    <row r="17" spans="2:5" x14ac:dyDescent="0.25">
      <c r="B17" s="23" t="s">
        <v>72</v>
      </c>
      <c r="C17" s="31" t="str">
        <f>IMEXP(C14)</f>
        <v>15.4874305606508-52.355491418482i</v>
      </c>
      <c r="E17" s="27"/>
    </row>
    <row r="18" spans="2:5" x14ac:dyDescent="0.25">
      <c r="B18" s="24" t="s">
        <v>73</v>
      </c>
      <c r="C18" s="32" t="str">
        <f>IMLN(C14)</f>
        <v>1.85678603335215+0.896055384571344i</v>
      </c>
      <c r="D18" s="28"/>
      <c r="E18" s="29"/>
    </row>
    <row r="19" spans="2:5" x14ac:dyDescent="0.25">
      <c r="B19" s="14"/>
    </row>
    <row r="20" spans="2:5" x14ac:dyDescent="0.25">
      <c r="B20" s="14"/>
    </row>
    <row r="21" spans="2:5" x14ac:dyDescent="0.25">
      <c r="B21" s="14" t="s">
        <v>111</v>
      </c>
    </row>
    <row r="22" spans="2:5" x14ac:dyDescent="0.25">
      <c r="B22" s="14"/>
    </row>
    <row r="23" spans="2:5" x14ac:dyDescent="0.25">
      <c r="B23" s="14" t="s">
        <v>82</v>
      </c>
    </row>
    <row r="24" spans="2:5" x14ac:dyDescent="0.25">
      <c r="B24" s="33" t="s">
        <v>74</v>
      </c>
      <c r="C24" s="34" t="s">
        <v>80</v>
      </c>
      <c r="D24" s="34" t="s">
        <v>81</v>
      </c>
      <c r="E24" s="35" t="s">
        <v>59</v>
      </c>
    </row>
    <row r="25" spans="2:5" x14ac:dyDescent="0.25">
      <c r="B25" s="36">
        <v>3.5</v>
      </c>
      <c r="C25" s="37" cm="1">
        <f t="array" ref="C25">_xlfn.LAMBDA(_xlpm.x,2*_xlpm.x-7)(B25)</f>
        <v>0</v>
      </c>
      <c r="D25" s="37" cm="1">
        <f t="array" ref="D25">BRISTO.BISECT(_xlfn.LAMBDA(_xlpm.x,2*_xlpm.x-7),C25,-10,10)</f>
        <v>3.4999990463256836</v>
      </c>
      <c r="E25" s="38">
        <f>B25-D25</f>
        <v>9.5367431640625E-7</v>
      </c>
    </row>
    <row r="27" spans="2:5" x14ac:dyDescent="0.25">
      <c r="B27" s="33" t="s">
        <v>83</v>
      </c>
      <c r="C27" s="39"/>
      <c r="D27" s="40"/>
    </row>
    <row r="28" spans="2:5" x14ac:dyDescent="0.25">
      <c r="B28" s="41" cm="1">
        <f t="array" ref="B28">BRISTO.ROOT_SOLVER(_xlfn.LAMBDA(_xlpm.x,2*_xlpm.x-7),0)</f>
        <v>3.5</v>
      </c>
      <c r="C28" s="39"/>
      <c r="D28" s="40"/>
    </row>
    <row r="31" spans="2:5" x14ac:dyDescent="0.25">
      <c r="B31" s="14" t="s">
        <v>112</v>
      </c>
    </row>
    <row r="33" spans="2:16" x14ac:dyDescent="0.25">
      <c r="B33" s="14" t="s">
        <v>113</v>
      </c>
    </row>
    <row r="34" spans="2:16" x14ac:dyDescent="0.25">
      <c r="B34" s="33" t="s">
        <v>74</v>
      </c>
      <c r="C34" s="35" t="s">
        <v>75</v>
      </c>
    </row>
    <row r="35" spans="2:16" x14ac:dyDescent="0.25">
      <c r="B35" s="31" cm="1">
        <f t="array" ref="B35:B42">_xlfn.SEQUENCE(8,,,3)</f>
        <v>1</v>
      </c>
      <c r="C35" s="27" cm="1">
        <f t="array" ref="C35:C42">_xlfn.ANCHORARRAY(B35)*2+3+MOD(_xlfn.ANCHORARRAY(B35),2)*3.5</f>
        <v>8.5</v>
      </c>
      <c r="E35" s="3"/>
    </row>
    <row r="36" spans="2:16" x14ac:dyDescent="0.25">
      <c r="B36" s="31">
        <v>4</v>
      </c>
      <c r="C36" s="27">
        <v>11</v>
      </c>
      <c r="E36" s="3"/>
    </row>
    <row r="37" spans="2:16" x14ac:dyDescent="0.25">
      <c r="B37" s="31">
        <v>7</v>
      </c>
      <c r="C37" s="27">
        <v>20.5</v>
      </c>
      <c r="E37" s="3"/>
    </row>
    <row r="38" spans="2:16" x14ac:dyDescent="0.25">
      <c r="B38" s="31">
        <v>10</v>
      </c>
      <c r="C38" s="27">
        <v>23</v>
      </c>
      <c r="E38" s="3"/>
    </row>
    <row r="39" spans="2:16" x14ac:dyDescent="0.25">
      <c r="B39" s="31">
        <v>13</v>
      </c>
      <c r="C39" s="27">
        <v>32.5</v>
      </c>
      <c r="E39" s="3"/>
    </row>
    <row r="40" spans="2:16" x14ac:dyDescent="0.25">
      <c r="B40" s="31">
        <v>16</v>
      </c>
      <c r="C40" s="27">
        <v>35</v>
      </c>
      <c r="E40" s="3"/>
    </row>
    <row r="41" spans="2:16" x14ac:dyDescent="0.25">
      <c r="B41" s="31">
        <v>19</v>
      </c>
      <c r="C41" s="27">
        <v>44.5</v>
      </c>
      <c r="E41" s="3"/>
    </row>
    <row r="42" spans="2:16" x14ac:dyDescent="0.25">
      <c r="B42" s="32">
        <v>22</v>
      </c>
      <c r="C42" s="29">
        <v>47</v>
      </c>
      <c r="E42" s="3"/>
    </row>
    <row r="43" spans="2:16" x14ac:dyDescent="0.25">
      <c r="E43" s="11"/>
    </row>
    <row r="44" spans="2:16" x14ac:dyDescent="0.25">
      <c r="B44" s="48" t="s">
        <v>85</v>
      </c>
      <c r="C44" s="49" t="s">
        <v>90</v>
      </c>
      <c r="D44" s="49" t="s">
        <v>96</v>
      </c>
      <c r="E44" s="49" t="s">
        <v>97</v>
      </c>
      <c r="F44" s="49" t="s">
        <v>99</v>
      </c>
      <c r="G44" s="49" t="s">
        <v>100</v>
      </c>
      <c r="H44" s="49" t="s">
        <v>88</v>
      </c>
      <c r="I44" s="49" t="s">
        <v>86</v>
      </c>
      <c r="J44" s="49" t="s">
        <v>87</v>
      </c>
      <c r="K44" s="49" t="s">
        <v>94</v>
      </c>
      <c r="L44" s="49" t="s">
        <v>89</v>
      </c>
      <c r="M44" s="49" t="s">
        <v>98</v>
      </c>
      <c r="N44" s="49" t="s">
        <v>101</v>
      </c>
      <c r="O44" s="49" t="s">
        <v>103</v>
      </c>
      <c r="P44" s="50" t="s">
        <v>102</v>
      </c>
    </row>
    <row r="45" spans="2:16" x14ac:dyDescent="0.25">
      <c r="B45" s="42" cm="1">
        <f t="array" ref="B45:P46">BRISTO.OLS(_xlfn.ANCHORARRAY(C35),_xlfn.ANCHORARRAY(B35))</f>
        <v>5.3888888888888999</v>
      </c>
      <c r="C45" s="13">
        <v>1.3589362821449877</v>
      </c>
      <c r="D45" s="13">
        <v>3.9655199141367454</v>
      </c>
      <c r="E45" s="13">
        <v>7.4048164053508551E-3</v>
      </c>
      <c r="F45" s="13">
        <v>2.0636915951574464</v>
      </c>
      <c r="G45" s="13">
        <v>8.7140861826203526</v>
      </c>
      <c r="H45" s="13">
        <v>1452.5</v>
      </c>
      <c r="I45" s="13">
        <v>23.333333333333336</v>
      </c>
      <c r="J45" s="13">
        <v>1429.1666666666667</v>
      </c>
      <c r="K45" s="13">
        <v>3.8888888888888893</v>
      </c>
      <c r="L45" s="13">
        <v>0.98393574297188757</v>
      </c>
      <c r="M45" s="13">
        <v>0.98125836680053546</v>
      </c>
      <c r="N45" s="13">
        <v>367.5</v>
      </c>
      <c r="O45" s="13">
        <v>4.9142379763135512E-16</v>
      </c>
      <c r="P45" s="43">
        <v>1.1828571428571406</v>
      </c>
    </row>
    <row r="46" spans="2:16" x14ac:dyDescent="0.25">
      <c r="B46" s="44">
        <v>1.9444444444444446</v>
      </c>
      <c r="C46" s="45">
        <v>0.10143010324169743</v>
      </c>
      <c r="D46" s="45">
        <v>19.170289512680814</v>
      </c>
      <c r="E46" s="45">
        <v>1.303363892642445E-6</v>
      </c>
      <c r="F46" s="45">
        <v>1.6962539227594775</v>
      </c>
      <c r="G46" s="45">
        <v>2.192634966129412</v>
      </c>
      <c r="H46" s="45" t="e">
        <v>#N/A</v>
      </c>
      <c r="I46" s="45" t="e">
        <v>#N/A</v>
      </c>
      <c r="J46" s="45" t="e">
        <v>#N/A</v>
      </c>
      <c r="K46" s="45" t="e">
        <v>#N/A</v>
      </c>
      <c r="L46" s="45" t="e">
        <v>#N/A</v>
      </c>
      <c r="M46" s="45" t="e">
        <v>#N/A</v>
      </c>
      <c r="N46" s="45" t="e">
        <v>#N/A</v>
      </c>
      <c r="O46" s="45" t="e">
        <v>#N/A</v>
      </c>
      <c r="P46" s="46" t="e">
        <v>#N/A</v>
      </c>
    </row>
    <row r="48" spans="2:16" x14ac:dyDescent="0.25">
      <c r="B48" s="33" t="s">
        <v>74</v>
      </c>
      <c r="C48" s="35" t="s">
        <v>104</v>
      </c>
    </row>
    <row r="49" spans="2:10" x14ac:dyDescent="0.25">
      <c r="B49" s="31" cm="1">
        <f t="array" ref="B49:B70">_xlfn.SEQUENCE(22)</f>
        <v>1</v>
      </c>
      <c r="C49" s="27" cm="1">
        <f t="array" ref="C49:C70">_xlfn.ANCHORARRAY(B49)*B46+B45</f>
        <v>7.3333333333333446</v>
      </c>
    </row>
    <row r="50" spans="2:10" x14ac:dyDescent="0.25">
      <c r="B50" s="31">
        <v>2</v>
      </c>
      <c r="C50" s="27">
        <v>9.2777777777777892</v>
      </c>
    </row>
    <row r="51" spans="2:10" x14ac:dyDescent="0.25">
      <c r="B51" s="31">
        <v>3</v>
      </c>
      <c r="C51" s="27">
        <v>11.222222222222234</v>
      </c>
    </row>
    <row r="52" spans="2:10" x14ac:dyDescent="0.25">
      <c r="B52" s="31">
        <v>4</v>
      </c>
      <c r="C52" s="27">
        <v>13.166666666666679</v>
      </c>
    </row>
    <row r="53" spans="2:10" x14ac:dyDescent="0.25">
      <c r="B53" s="31">
        <v>5</v>
      </c>
      <c r="C53" s="27">
        <v>15.111111111111123</v>
      </c>
    </row>
    <row r="54" spans="2:10" x14ac:dyDescent="0.25">
      <c r="B54" s="31">
        <v>6</v>
      </c>
      <c r="C54" s="27">
        <v>17.055555555555568</v>
      </c>
    </row>
    <row r="55" spans="2:10" x14ac:dyDescent="0.25">
      <c r="B55" s="31">
        <v>7</v>
      </c>
      <c r="C55" s="27">
        <v>19.000000000000014</v>
      </c>
    </row>
    <row r="56" spans="2:10" x14ac:dyDescent="0.25">
      <c r="B56" s="31">
        <v>8</v>
      </c>
      <c r="C56" s="27">
        <v>20.944444444444457</v>
      </c>
    </row>
    <row r="57" spans="2:10" x14ac:dyDescent="0.25">
      <c r="B57" s="31">
        <v>9</v>
      </c>
      <c r="C57" s="27">
        <v>22.8888888888889</v>
      </c>
    </row>
    <row r="58" spans="2:10" x14ac:dyDescent="0.25">
      <c r="B58" s="31">
        <v>10</v>
      </c>
      <c r="C58" s="27">
        <v>24.833333333333346</v>
      </c>
    </row>
    <row r="59" spans="2:10" x14ac:dyDescent="0.25">
      <c r="B59" s="31">
        <v>11</v>
      </c>
      <c r="C59" s="27">
        <v>26.777777777777793</v>
      </c>
    </row>
    <row r="60" spans="2:10" x14ac:dyDescent="0.25">
      <c r="B60" s="31">
        <v>12</v>
      </c>
      <c r="C60" s="27">
        <v>28.722222222222236</v>
      </c>
    </row>
    <row r="61" spans="2:10" x14ac:dyDescent="0.25">
      <c r="B61" s="31">
        <v>13</v>
      </c>
      <c r="C61" s="27">
        <v>30.666666666666679</v>
      </c>
      <c r="F61" s="14"/>
      <c r="G61" s="14"/>
      <c r="H61" s="14"/>
      <c r="I61" s="14"/>
      <c r="J61" s="14"/>
    </row>
    <row r="62" spans="2:10" x14ac:dyDescent="0.25">
      <c r="B62" s="31">
        <v>14</v>
      </c>
      <c r="C62" s="27">
        <v>32.611111111111128</v>
      </c>
      <c r="E62" s="14"/>
    </row>
    <row r="63" spans="2:10" x14ac:dyDescent="0.25">
      <c r="B63" s="31">
        <v>15</v>
      </c>
      <c r="C63" s="27">
        <v>34.555555555555571</v>
      </c>
      <c r="E63" s="14"/>
    </row>
    <row r="64" spans="2:10" x14ac:dyDescent="0.25">
      <c r="B64" s="31">
        <v>16</v>
      </c>
      <c r="C64" s="27">
        <v>36.500000000000014</v>
      </c>
      <c r="E64" s="14"/>
    </row>
    <row r="65" spans="2:10" x14ac:dyDescent="0.25">
      <c r="B65" s="31">
        <v>17</v>
      </c>
      <c r="C65" s="27">
        <v>38.444444444444457</v>
      </c>
    </row>
    <row r="66" spans="2:10" x14ac:dyDescent="0.25">
      <c r="B66" s="31">
        <v>18</v>
      </c>
      <c r="C66" s="27">
        <v>40.3888888888889</v>
      </c>
    </row>
    <row r="67" spans="2:10" x14ac:dyDescent="0.25">
      <c r="B67" s="31">
        <v>19</v>
      </c>
      <c r="C67" s="27">
        <v>42.33333333333335</v>
      </c>
      <c r="F67" s="14"/>
      <c r="G67" s="14"/>
      <c r="H67" s="14"/>
      <c r="I67" s="14"/>
      <c r="J67" s="14"/>
    </row>
    <row r="68" spans="2:10" x14ac:dyDescent="0.25">
      <c r="B68" s="31">
        <v>20</v>
      </c>
      <c r="C68" s="27">
        <v>44.277777777777793</v>
      </c>
      <c r="E68" s="14"/>
    </row>
    <row r="69" spans="2:10" x14ac:dyDescent="0.25">
      <c r="B69" s="31">
        <v>21</v>
      </c>
      <c r="C69" s="27">
        <v>46.222222222222236</v>
      </c>
      <c r="E69" s="14"/>
    </row>
    <row r="70" spans="2:10" x14ac:dyDescent="0.25">
      <c r="B70" s="32">
        <v>22</v>
      </c>
      <c r="C70" s="29">
        <v>48.166666666666686</v>
      </c>
    </row>
    <row r="72" spans="2:10" x14ac:dyDescent="0.25">
      <c r="E72" s="14"/>
    </row>
    <row r="73" spans="2:10" x14ac:dyDescent="0.25">
      <c r="B73" s="14" t="s">
        <v>114</v>
      </c>
      <c r="E73" s="14"/>
    </row>
    <row r="74" spans="2:10" x14ac:dyDescent="0.25">
      <c r="B74" s="33" t="s">
        <v>95</v>
      </c>
      <c r="C74" s="47" t="s">
        <v>75</v>
      </c>
      <c r="D74" s="34" t="s">
        <v>105</v>
      </c>
      <c r="E74" s="34" t="s">
        <v>106</v>
      </c>
      <c r="F74" s="34" t="s">
        <v>107</v>
      </c>
      <c r="G74" s="34" t="s">
        <v>108</v>
      </c>
      <c r="H74" s="35" t="s">
        <v>109</v>
      </c>
    </row>
    <row r="75" spans="2:10" x14ac:dyDescent="0.25">
      <c r="B75" s="31">
        <v>1</v>
      </c>
      <c r="C75" s="3">
        <v>29.04</v>
      </c>
      <c r="D75">
        <v>15.75</v>
      </c>
      <c r="E75">
        <v>4.08</v>
      </c>
      <c r="F75">
        <v>33.229999999999997</v>
      </c>
      <c r="G75">
        <v>-30.05</v>
      </c>
      <c r="H75" s="27">
        <v>34.03</v>
      </c>
    </row>
    <row r="76" spans="2:10" x14ac:dyDescent="0.25">
      <c r="B76" s="31">
        <v>1</v>
      </c>
      <c r="C76" s="3">
        <v>17.84</v>
      </c>
      <c r="D76">
        <v>8.4499999999999993</v>
      </c>
      <c r="E76">
        <v>4.83</v>
      </c>
      <c r="F76">
        <v>25.65</v>
      </c>
      <c r="G76">
        <v>-18.45</v>
      </c>
      <c r="H76" s="27">
        <v>16.760000000000002</v>
      </c>
    </row>
    <row r="77" spans="2:10" x14ac:dyDescent="0.25">
      <c r="B77" s="31">
        <v>1</v>
      </c>
      <c r="C77" s="3">
        <v>6.22</v>
      </c>
      <c r="D77">
        <v>9.3699999999999992</v>
      </c>
      <c r="E77">
        <v>7.21</v>
      </c>
      <c r="F77">
        <v>9.34</v>
      </c>
      <c r="G77">
        <v>-6.23</v>
      </c>
      <c r="H77" s="27">
        <v>19.989999999999998</v>
      </c>
    </row>
    <row r="78" spans="2:10" x14ac:dyDescent="0.25">
      <c r="B78" s="31">
        <v>1</v>
      </c>
      <c r="C78" s="3">
        <v>21.49</v>
      </c>
      <c r="D78">
        <v>18.850000000000001</v>
      </c>
      <c r="E78">
        <v>0.88</v>
      </c>
      <c r="F78">
        <v>31.01</v>
      </c>
      <c r="G78">
        <v>-22.32</v>
      </c>
      <c r="H78" s="27">
        <v>38.76</v>
      </c>
    </row>
    <row r="79" spans="2:10" x14ac:dyDescent="0.25">
      <c r="B79" s="31">
        <v>1</v>
      </c>
      <c r="C79" s="3">
        <v>10.49</v>
      </c>
      <c r="D79">
        <v>17.829999999999998</v>
      </c>
      <c r="E79">
        <v>3.3</v>
      </c>
      <c r="F79">
        <v>13.46</v>
      </c>
      <c r="G79">
        <v>-11.06</v>
      </c>
      <c r="H79" s="27">
        <v>35.590000000000003</v>
      </c>
    </row>
    <row r="80" spans="2:10" x14ac:dyDescent="0.25">
      <c r="B80" s="31">
        <v>1</v>
      </c>
      <c r="C80" s="3">
        <v>11.93</v>
      </c>
      <c r="D80">
        <v>12.68</v>
      </c>
      <c r="E80">
        <v>2.37</v>
      </c>
      <c r="F80">
        <v>14.13</v>
      </c>
      <c r="G80">
        <v>-12.75</v>
      </c>
      <c r="H80" s="27">
        <v>24.01</v>
      </c>
    </row>
    <row r="81" spans="2:20" x14ac:dyDescent="0.25">
      <c r="B81" s="31">
        <v>1</v>
      </c>
      <c r="C81" s="3">
        <v>19.920000000000002</v>
      </c>
      <c r="D81">
        <v>27.83</v>
      </c>
      <c r="E81">
        <v>4.4000000000000004</v>
      </c>
      <c r="F81">
        <v>20</v>
      </c>
      <c r="G81">
        <v>-21.12</v>
      </c>
      <c r="H81" s="27">
        <v>54.9</v>
      </c>
    </row>
    <row r="82" spans="2:20" x14ac:dyDescent="0.25">
      <c r="B82" s="31">
        <v>1</v>
      </c>
      <c r="C82" s="3">
        <v>24.61</v>
      </c>
      <c r="D82">
        <v>28.96</v>
      </c>
      <c r="E82">
        <v>0.54</v>
      </c>
      <c r="F82">
        <v>22.95</v>
      </c>
      <c r="G82">
        <v>-24.44</v>
      </c>
      <c r="H82" s="27">
        <v>60.17</v>
      </c>
      <c r="S82" s="3"/>
      <c r="T82" s="19"/>
    </row>
    <row r="83" spans="2:20" x14ac:dyDescent="0.25">
      <c r="B83" s="31">
        <v>2</v>
      </c>
      <c r="C83" s="3">
        <v>3.51</v>
      </c>
      <c r="D83">
        <v>34.75</v>
      </c>
      <c r="E83">
        <v>8.7899999999999991</v>
      </c>
      <c r="F83">
        <v>1.0900000000000001</v>
      </c>
      <c r="G83">
        <v>-4.55</v>
      </c>
      <c r="H83" s="27">
        <v>70.33</v>
      </c>
      <c r="S83" s="3"/>
      <c r="T83" s="19"/>
    </row>
    <row r="84" spans="2:20" x14ac:dyDescent="0.25">
      <c r="B84" s="31">
        <v>2</v>
      </c>
      <c r="C84" s="3">
        <v>28.28</v>
      </c>
      <c r="D84">
        <v>22.26</v>
      </c>
      <c r="E84">
        <v>5.89</v>
      </c>
      <c r="F84">
        <v>30.47</v>
      </c>
      <c r="G84">
        <v>-30.21</v>
      </c>
      <c r="H84" s="27">
        <v>45.87</v>
      </c>
      <c r="S84" s="3"/>
      <c r="T84" s="19"/>
    </row>
    <row r="85" spans="2:20" x14ac:dyDescent="0.25">
      <c r="B85" s="31">
        <v>2</v>
      </c>
      <c r="C85" s="3">
        <v>11.03</v>
      </c>
      <c r="D85">
        <v>17.39</v>
      </c>
      <c r="E85">
        <v>9.8800000000000008</v>
      </c>
      <c r="F85">
        <v>11.24</v>
      </c>
      <c r="G85">
        <v>-10.9</v>
      </c>
      <c r="H85" s="27">
        <v>34.18</v>
      </c>
      <c r="S85" s="3"/>
      <c r="T85" s="19"/>
    </row>
    <row r="86" spans="2:20" x14ac:dyDescent="0.25">
      <c r="B86" s="31">
        <v>2</v>
      </c>
      <c r="C86" s="3">
        <v>12.38</v>
      </c>
      <c r="D86">
        <v>5.32</v>
      </c>
      <c r="E86">
        <v>2.0099999999999998</v>
      </c>
      <c r="F86">
        <v>14.31</v>
      </c>
      <c r="G86">
        <v>-11.34</v>
      </c>
      <c r="H86" s="27">
        <v>10.54</v>
      </c>
      <c r="S86" s="3"/>
      <c r="T86" s="19"/>
    </row>
    <row r="87" spans="2:20" x14ac:dyDescent="0.25">
      <c r="B87" s="31">
        <v>2</v>
      </c>
      <c r="C87" s="3">
        <v>29</v>
      </c>
      <c r="D87">
        <v>6.52</v>
      </c>
      <c r="E87">
        <v>8.42</v>
      </c>
      <c r="F87">
        <v>32.090000000000003</v>
      </c>
      <c r="G87">
        <v>-28.79</v>
      </c>
      <c r="H87" s="27">
        <v>12.44</v>
      </c>
      <c r="S87" s="3"/>
      <c r="T87" s="19"/>
    </row>
    <row r="88" spans="2:20" x14ac:dyDescent="0.25">
      <c r="B88" s="31">
        <v>2</v>
      </c>
      <c r="C88" s="3">
        <v>8.9600000000000009</v>
      </c>
      <c r="D88">
        <v>21.49</v>
      </c>
      <c r="E88">
        <v>6.64</v>
      </c>
      <c r="F88">
        <v>10.88</v>
      </c>
      <c r="G88">
        <v>-9.01</v>
      </c>
      <c r="H88" s="27">
        <v>42.65</v>
      </c>
      <c r="S88" s="3"/>
      <c r="T88" s="19"/>
    </row>
    <row r="89" spans="2:20" x14ac:dyDescent="0.25">
      <c r="B89" s="31">
        <v>2</v>
      </c>
      <c r="C89" s="3">
        <v>17.260000000000002</v>
      </c>
      <c r="D89">
        <v>18.100000000000001</v>
      </c>
      <c r="E89">
        <v>5.31</v>
      </c>
      <c r="F89">
        <v>23.23</v>
      </c>
      <c r="G89">
        <v>-19.399999999999999</v>
      </c>
      <c r="H89" s="27">
        <v>36.659999999999997</v>
      </c>
      <c r="S89" s="3"/>
      <c r="T89" s="19"/>
    </row>
    <row r="90" spans="2:20" x14ac:dyDescent="0.25">
      <c r="B90" s="32">
        <v>2</v>
      </c>
      <c r="C90" s="37">
        <v>27.91</v>
      </c>
      <c r="D90" s="28">
        <v>31.67</v>
      </c>
      <c r="E90" s="28">
        <v>1.05</v>
      </c>
      <c r="F90" s="28">
        <v>32.65</v>
      </c>
      <c r="G90" s="28">
        <v>-28.44</v>
      </c>
      <c r="H90" s="29">
        <v>62.05</v>
      </c>
      <c r="S90" s="3"/>
      <c r="T90" s="19"/>
    </row>
    <row r="91" spans="2:20" x14ac:dyDescent="0.25">
      <c r="S91" s="3"/>
      <c r="T91" s="19"/>
    </row>
    <row r="92" spans="2:20" x14ac:dyDescent="0.25">
      <c r="B92" s="48" t="s">
        <v>85</v>
      </c>
      <c r="C92" s="49" t="s">
        <v>90</v>
      </c>
      <c r="D92" s="49" t="s">
        <v>96</v>
      </c>
      <c r="E92" s="49" t="s">
        <v>97</v>
      </c>
      <c r="F92" s="49" t="s">
        <v>99</v>
      </c>
      <c r="G92" s="49" t="s">
        <v>100</v>
      </c>
      <c r="H92" s="49" t="s">
        <v>88</v>
      </c>
      <c r="I92" s="49" t="s">
        <v>86</v>
      </c>
      <c r="J92" s="49" t="s">
        <v>87</v>
      </c>
      <c r="K92" s="49" t="s">
        <v>94</v>
      </c>
      <c r="L92" s="49" t="s">
        <v>89</v>
      </c>
      <c r="M92" s="49" t="s">
        <v>98</v>
      </c>
      <c r="N92" s="49" t="s">
        <v>101</v>
      </c>
      <c r="O92" s="49" t="s">
        <v>103</v>
      </c>
      <c r="P92" s="50" t="s">
        <v>102</v>
      </c>
      <c r="S92" s="3"/>
      <c r="T92" s="19"/>
    </row>
    <row r="93" spans="2:20" x14ac:dyDescent="0.25">
      <c r="B93" s="42" cm="1">
        <f t="array" ref="B93:P98">BRISTO.OLS(C75:C90,D75:H90,B75:B90)</f>
        <v>1.6167582779083887</v>
      </c>
      <c r="C93" s="13">
        <v>1.0913101007960007</v>
      </c>
      <c r="D93" s="13">
        <v>1.4814838392214336</v>
      </c>
      <c r="E93" s="13">
        <v>0.16928609209291148</v>
      </c>
      <c r="F93" s="13">
        <v>-0.81483215724023772</v>
      </c>
      <c r="G93" s="13">
        <v>4.048348713057015</v>
      </c>
      <c r="H93" s="13">
        <v>1800.2137343749998</v>
      </c>
      <c r="I93" s="13">
        <v>11.246229077227955</v>
      </c>
      <c r="J93" s="13">
        <v>1788.9675052977718</v>
      </c>
      <c r="K93" s="13">
        <v>1.1246229077227956</v>
      </c>
      <c r="L93" s="13">
        <v>0.99375283675350223</v>
      </c>
      <c r="M93" s="13">
        <v>0.99062925513025335</v>
      </c>
      <c r="N93" s="13">
        <v>318.14530773167007</v>
      </c>
      <c r="O93" s="13">
        <v>-0.73634851591496486</v>
      </c>
      <c r="P93" s="43">
        <v>2.6728669640443008</v>
      </c>
      <c r="S93" s="3"/>
      <c r="T93" s="19"/>
    </row>
    <row r="94" spans="2:20" x14ac:dyDescent="0.25">
      <c r="B94" s="42">
        <v>0.38370226964298126</v>
      </c>
      <c r="C94" s="13">
        <v>0.4286751909117103</v>
      </c>
      <c r="D94" s="13">
        <v>0.89508858403239944</v>
      </c>
      <c r="E94" s="13">
        <v>0.39177524463928615</v>
      </c>
      <c r="F94" s="13">
        <v>-0.57144557811003394</v>
      </c>
      <c r="G94" s="13">
        <v>1.3388501173959964</v>
      </c>
      <c r="H94" s="13" t="e">
        <v>#N/A</v>
      </c>
      <c r="I94" s="13" t="e">
        <v>#N/A</v>
      </c>
      <c r="J94" s="13" t="e">
        <v>#N/A</v>
      </c>
      <c r="K94" s="13" t="e">
        <v>#N/A</v>
      </c>
      <c r="L94" s="13" t="e">
        <v>#N/A</v>
      </c>
      <c r="M94" s="13" t="e">
        <v>#N/A</v>
      </c>
      <c r="N94" s="13" t="e">
        <v>#N/A</v>
      </c>
      <c r="O94" s="13" t="e">
        <v>#N/A</v>
      </c>
      <c r="P94" s="43" t="e">
        <v>#N/A</v>
      </c>
      <c r="S94" s="3"/>
      <c r="T94" s="19"/>
    </row>
    <row r="95" spans="2:20" x14ac:dyDescent="0.25">
      <c r="B95" s="42">
        <v>-8.5261840690915136E-2</v>
      </c>
      <c r="C95" s="13">
        <v>8.7554095098926907E-2</v>
      </c>
      <c r="D95" s="13">
        <v>-0.97381899264195737</v>
      </c>
      <c r="E95" s="13">
        <v>0.35311348361141748</v>
      </c>
      <c r="F95" s="13">
        <v>-0.28034452163133522</v>
      </c>
      <c r="G95" s="13">
        <v>0.10982084024950495</v>
      </c>
      <c r="H95" s="13" t="e">
        <v>#N/A</v>
      </c>
      <c r="I95" s="13" t="e">
        <v>#N/A</v>
      </c>
      <c r="J95" s="13" t="e">
        <v>#N/A</v>
      </c>
      <c r="K95" s="13" t="e">
        <v>#N/A</v>
      </c>
      <c r="L95" s="13" t="e">
        <v>#N/A</v>
      </c>
      <c r="M95" s="13" t="e">
        <v>#N/A</v>
      </c>
      <c r="N95" s="13" t="e">
        <v>#N/A</v>
      </c>
      <c r="O95" s="13" t="e">
        <v>#N/A</v>
      </c>
      <c r="P95" s="43" t="e">
        <v>#N/A</v>
      </c>
      <c r="S95" s="3"/>
      <c r="T95" s="19"/>
    </row>
    <row r="96" spans="2:20" x14ac:dyDescent="0.25">
      <c r="B96" s="42">
        <v>-8.9641254373660217E-2</v>
      </c>
      <c r="C96" s="13">
        <v>0.11135025181258409</v>
      </c>
      <c r="D96" s="13">
        <v>-0.80503863183477364</v>
      </c>
      <c r="E96" s="13">
        <v>0.43951860579172064</v>
      </c>
      <c r="F96" s="13">
        <v>-0.33774507661573394</v>
      </c>
      <c r="G96" s="13">
        <v>0.15846256786841348</v>
      </c>
      <c r="H96" s="13" t="e">
        <v>#N/A</v>
      </c>
      <c r="I96" s="13" t="e">
        <v>#N/A</v>
      </c>
      <c r="J96" s="13" t="e">
        <v>#N/A</v>
      </c>
      <c r="K96" s="13" t="e">
        <v>#N/A</v>
      </c>
      <c r="L96" s="13" t="e">
        <v>#N/A</v>
      </c>
      <c r="M96" s="13" t="e">
        <v>#N/A</v>
      </c>
      <c r="N96" s="13" t="e">
        <v>#N/A</v>
      </c>
      <c r="O96" s="13" t="e">
        <v>#N/A</v>
      </c>
      <c r="P96" s="43" t="e">
        <v>#N/A</v>
      </c>
      <c r="S96" s="3"/>
      <c r="T96" s="19"/>
    </row>
    <row r="97" spans="2:22" x14ac:dyDescent="0.25">
      <c r="B97" s="42">
        <v>-1.0631563592745152</v>
      </c>
      <c r="C97" s="13">
        <v>0.12214300486952828</v>
      </c>
      <c r="D97" s="13">
        <v>-8.7041935836617608</v>
      </c>
      <c r="E97" s="13">
        <v>5.5827784043519771E-6</v>
      </c>
      <c r="F97" s="13">
        <v>-1.3353079339226599</v>
      </c>
      <c r="G97" s="13">
        <v>-0.79100478462637058</v>
      </c>
      <c r="H97" s="13" t="e">
        <v>#N/A</v>
      </c>
      <c r="I97" s="13" t="e">
        <v>#N/A</v>
      </c>
      <c r="J97" s="13" t="e">
        <v>#N/A</v>
      </c>
      <c r="K97" s="13" t="e">
        <v>#N/A</v>
      </c>
      <c r="L97" s="13" t="e">
        <v>#N/A</v>
      </c>
      <c r="M97" s="13" t="e">
        <v>#N/A</v>
      </c>
      <c r="N97" s="13" t="e">
        <v>#N/A</v>
      </c>
      <c r="O97" s="13" t="e">
        <v>#N/A</v>
      </c>
      <c r="P97" s="43" t="e">
        <v>#N/A</v>
      </c>
      <c r="T97" s="19"/>
    </row>
    <row r="98" spans="2:22" x14ac:dyDescent="0.25">
      <c r="B98" s="44">
        <v>-0.21926020720252382</v>
      </c>
      <c r="C98" s="45">
        <v>0.21433201914663699</v>
      </c>
      <c r="D98" s="45">
        <v>-1.0229932423326593</v>
      </c>
      <c r="E98" s="45">
        <v>0.33042120410646814</v>
      </c>
      <c r="F98" s="45">
        <v>-0.6968217062878117</v>
      </c>
      <c r="G98" s="45">
        <v>0.25830129188276413</v>
      </c>
      <c r="H98" s="45" t="e">
        <v>#N/A</v>
      </c>
      <c r="I98" s="45" t="e">
        <v>#N/A</v>
      </c>
      <c r="J98" s="45" t="e">
        <v>#N/A</v>
      </c>
      <c r="K98" s="45" t="e">
        <v>#N/A</v>
      </c>
      <c r="L98" s="45" t="e">
        <v>#N/A</v>
      </c>
      <c r="M98" s="45" t="e">
        <v>#N/A</v>
      </c>
      <c r="N98" s="45" t="e">
        <v>#N/A</v>
      </c>
      <c r="O98" s="45" t="e">
        <v>#N/A</v>
      </c>
      <c r="P98" s="46" t="e">
        <v>#N/A</v>
      </c>
    </row>
    <row r="99" spans="2:22" x14ac:dyDescent="0.25">
      <c r="R99" s="21"/>
      <c r="U99" s="12"/>
      <c r="V99" s="10"/>
    </row>
    <row r="100" spans="2:22" x14ac:dyDescent="0.25">
      <c r="U100" s="12"/>
      <c r="V100" s="10"/>
    </row>
    <row r="101" spans="2:22" x14ac:dyDescent="0.25">
      <c r="B101" s="14" t="s">
        <v>115</v>
      </c>
      <c r="U101" s="12"/>
      <c r="V101" s="10"/>
    </row>
    <row r="102" spans="2:22" x14ac:dyDescent="0.25">
      <c r="U102" s="12"/>
      <c r="V102" s="10"/>
    </row>
    <row r="103" spans="2:22" x14ac:dyDescent="0.25">
      <c r="B103" s="33" t="s">
        <v>117</v>
      </c>
      <c r="C103" s="34" t="s">
        <v>118</v>
      </c>
      <c r="D103" s="35" t="s">
        <v>75</v>
      </c>
      <c r="F103" s="33" t="s">
        <v>119</v>
      </c>
      <c r="G103" s="47" t="s">
        <v>117</v>
      </c>
      <c r="H103" s="53" t="s">
        <v>118</v>
      </c>
      <c r="U103" s="12"/>
      <c r="V103" s="10"/>
    </row>
    <row r="104" spans="2:22" x14ac:dyDescent="0.25">
      <c r="B104" s="31">
        <v>1</v>
      </c>
      <c r="C104" s="52">
        <v>1</v>
      </c>
      <c r="D104" s="27" cm="1">
        <f t="array" ref="D104:D106">_xlfn.LAMBDA(_xlpm.x,_xlpm.y,
  _xlpm.x^2-4*_xlpm.x+_xlpm.y^2-_xlpm.y+_xlpm.x*_xlpm.y
)(B104:B106,C104:C106)</f>
        <v>-2</v>
      </c>
      <c r="F104" s="41" cm="1">
        <f t="array" ref="F104:H104">BRISTO.NELDER_MEAD(_xlfn.LAMBDA(_xlpm.p,
  _xlfn.LET(
    _xlpm.x,INDEX(_xlpm.p,1),
    _xlpm.y,INDEX(_xlpm.p,2),
    _xlpm.x^2-4*_xlpm.x+_xlpm.y^2-_xlpm.y-_xlpm.x*_xlpm.y
  )),B104:C106)</f>
        <v>-6.9999999999843254</v>
      </c>
      <c r="G104" s="54">
        <v>2.9999968437303317</v>
      </c>
      <c r="H104" s="55">
        <v>2.0000012858598133</v>
      </c>
      <c r="U104" s="12"/>
      <c r="V104" s="10"/>
    </row>
    <row r="105" spans="2:22" x14ac:dyDescent="0.25">
      <c r="B105" s="31">
        <v>2</v>
      </c>
      <c r="C105" s="52">
        <v>1</v>
      </c>
      <c r="D105" s="27">
        <v>-2</v>
      </c>
    </row>
    <row r="106" spans="2:22" x14ac:dyDescent="0.25">
      <c r="B106" s="32">
        <v>3</v>
      </c>
      <c r="C106" s="28">
        <v>3</v>
      </c>
      <c r="D106" s="29">
        <v>12</v>
      </c>
    </row>
    <row r="108" spans="2:22" x14ac:dyDescent="0.25">
      <c r="B108" s="33" t="s">
        <v>117</v>
      </c>
      <c r="C108" s="34" t="s">
        <v>118</v>
      </c>
      <c r="D108" s="53" t="s">
        <v>120</v>
      </c>
      <c r="F108" s="33" t="s">
        <v>119</v>
      </c>
      <c r="G108" s="47" t="s">
        <v>117</v>
      </c>
      <c r="H108" s="47" t="s">
        <v>118</v>
      </c>
      <c r="I108" s="53" t="s">
        <v>120</v>
      </c>
    </row>
    <row r="109" spans="2:22" x14ac:dyDescent="0.25">
      <c r="B109" s="56">
        <v>10</v>
      </c>
      <c r="C109" s="57">
        <v>1</v>
      </c>
      <c r="D109" s="58">
        <v>30</v>
      </c>
      <c r="F109" s="59" cm="1">
        <f t="array" ref="F109:I109">BRISTO.NELDER_MEAD(_xlfn.LAMBDA(_xlpm.p,
  _xlfn.LET(
    _xlpm.x,INDEX(_xlpm.p,1),
    _xlpm.y,INDEX(_xlpm.p,2),
    _xlpm.z,INDEX(_xlpm.p,3),
    (_xlpm.x-10)^2+(_xlpm.y+10)^2+(_xlpm.z-2)^2
  )),B109:D112)</f>
        <v>1.4217358074077602E-10</v>
      </c>
      <c r="G109" s="54">
        <v>10.000003223062087</v>
      </c>
      <c r="H109" s="54">
        <v>-10.000006761608361</v>
      </c>
      <c r="I109" s="55">
        <v>2.0000092771818938</v>
      </c>
    </row>
    <row r="110" spans="2:22" x14ac:dyDescent="0.25">
      <c r="B110" s="56">
        <v>2</v>
      </c>
      <c r="C110" s="57">
        <v>2</v>
      </c>
      <c r="D110" s="58">
        <v>2</v>
      </c>
    </row>
    <row r="111" spans="2:22" x14ac:dyDescent="0.25">
      <c r="B111" s="56">
        <v>0</v>
      </c>
      <c r="C111" s="57">
        <v>1</v>
      </c>
      <c r="D111" s="58">
        <v>0</v>
      </c>
    </row>
    <row r="112" spans="2:22" x14ac:dyDescent="0.25">
      <c r="B112" s="36">
        <v>1</v>
      </c>
      <c r="C112" s="37">
        <v>1</v>
      </c>
      <c r="D112" s="38">
        <v>-9</v>
      </c>
    </row>
    <row r="119" spans="2:15" x14ac:dyDescent="0.25">
      <c r="D119" s="3"/>
      <c r="E119" s="20"/>
      <c r="F119" s="3"/>
      <c r="H119" s="20"/>
      <c r="M119" s="10"/>
      <c r="N119" s="3"/>
      <c r="O119" s="3"/>
    </row>
    <row r="120" spans="2:15" x14ac:dyDescent="0.25">
      <c r="E120" s="3"/>
      <c r="F120" s="3"/>
      <c r="H120" s="20"/>
      <c r="M120" s="10"/>
      <c r="N120" s="3"/>
      <c r="O120" s="3"/>
    </row>
    <row r="121" spans="2:15" x14ac:dyDescent="0.25">
      <c r="E121" s="3"/>
      <c r="F121" s="3"/>
      <c r="H121" s="20"/>
      <c r="M121" s="10"/>
      <c r="N121" s="3"/>
      <c r="O121" s="3"/>
    </row>
    <row r="122" spans="2:15" x14ac:dyDescent="0.25">
      <c r="E122" s="3"/>
      <c r="F122" s="3"/>
      <c r="M122" s="10"/>
      <c r="N122" s="3"/>
      <c r="O122" s="3"/>
    </row>
    <row r="123" spans="2:15" x14ac:dyDescent="0.25">
      <c r="E123" s="3"/>
      <c r="F123" s="3"/>
      <c r="M123" s="10"/>
      <c r="N123" s="3"/>
      <c r="O123" s="3"/>
    </row>
    <row r="124" spans="2:15" x14ac:dyDescent="0.25">
      <c r="E124" s="3"/>
      <c r="F124" s="3"/>
      <c r="M124" s="10"/>
      <c r="N124" s="3"/>
      <c r="O124" s="3"/>
    </row>
    <row r="125" spans="2:15" x14ac:dyDescent="0.25">
      <c r="D125" s="3"/>
      <c r="E125" s="3"/>
      <c r="F125" s="3"/>
      <c r="M125" s="10"/>
      <c r="N125" s="3"/>
      <c r="O125" s="3"/>
    </row>
    <row r="126" spans="2:15" x14ac:dyDescent="0.25">
      <c r="F126" s="3"/>
      <c r="M126" s="10"/>
      <c r="N126" s="3"/>
      <c r="O126" s="3"/>
    </row>
    <row r="127" spans="2:15" x14ac:dyDescent="0.25">
      <c r="F127" s="3"/>
      <c r="M127" s="10"/>
      <c r="N127" s="3"/>
      <c r="O127" s="3"/>
    </row>
    <row r="128" spans="2:15" x14ac:dyDescent="0.25">
      <c r="B128" s="3"/>
      <c r="C128" s="3"/>
      <c r="D128" s="3"/>
      <c r="E128" s="3"/>
      <c r="F128" s="3"/>
      <c r="M128" s="10"/>
      <c r="N128" s="3"/>
      <c r="O128" s="3"/>
    </row>
    <row r="129" spans="2:17" x14ac:dyDescent="0.25">
      <c r="B129" s="3"/>
      <c r="C129" s="3"/>
      <c r="D129" s="3"/>
      <c r="E129" s="3"/>
      <c r="F129" s="3"/>
      <c r="M129" s="10"/>
      <c r="N129" s="3"/>
      <c r="O129" s="3"/>
    </row>
    <row r="130" spans="2:17" x14ac:dyDescent="0.25">
      <c r="B130" s="3"/>
      <c r="C130" s="3"/>
      <c r="D130" s="3"/>
      <c r="E130" s="3"/>
      <c r="F130" s="3"/>
      <c r="M130" s="10"/>
      <c r="N130" s="3"/>
      <c r="O130" s="3"/>
    </row>
    <row r="131" spans="2:17" x14ac:dyDescent="0.25">
      <c r="D131" s="3"/>
      <c r="E131" s="3"/>
      <c r="F131" s="3"/>
      <c r="M131" s="10"/>
      <c r="N131" s="3"/>
      <c r="O131" s="3"/>
    </row>
    <row r="132" spans="2:17" x14ac:dyDescent="0.25">
      <c r="D132" s="3"/>
      <c r="E132" s="3"/>
      <c r="F132" s="3"/>
      <c r="M132" s="10"/>
      <c r="N132" s="3"/>
      <c r="O132" s="3"/>
      <c r="P132" s="3"/>
      <c r="Q132" s="3"/>
    </row>
    <row r="133" spans="2:17" x14ac:dyDescent="0.25">
      <c r="D133" s="3"/>
      <c r="E133" s="3"/>
      <c r="F133" s="3"/>
      <c r="M133" s="10"/>
      <c r="N133" s="3"/>
      <c r="O133" s="3"/>
      <c r="P133" s="3"/>
      <c r="Q133" s="3"/>
    </row>
    <row r="134" spans="2:17" x14ac:dyDescent="0.25">
      <c r="D134" s="3"/>
      <c r="E134" s="3"/>
      <c r="F134" s="3"/>
      <c r="M134" s="10"/>
      <c r="N134" s="3"/>
      <c r="O134" s="3"/>
      <c r="P134" s="3"/>
      <c r="Q134" s="3"/>
    </row>
    <row r="135" spans="2:17" x14ac:dyDescent="0.25">
      <c r="D135" s="3"/>
      <c r="E135" s="3"/>
      <c r="F135" s="3"/>
      <c r="M135" s="10"/>
      <c r="N135" s="3"/>
      <c r="O135" s="3"/>
      <c r="P135" s="3"/>
      <c r="Q135" s="3"/>
    </row>
    <row r="136" spans="2:17" x14ac:dyDescent="0.25">
      <c r="M136" s="10"/>
      <c r="N136" s="3"/>
      <c r="O136" s="3"/>
    </row>
    <row r="140" spans="2:17" x14ac:dyDescent="0.25">
      <c r="D140" s="12"/>
      <c r="E140" s="20"/>
      <c r="F140" s="13"/>
      <c r="H140" s="13"/>
      <c r="I140" s="13"/>
      <c r="J140" s="13"/>
    </row>
    <row r="141" spans="2:17" x14ac:dyDescent="0.25">
      <c r="D141" s="12"/>
      <c r="E141" s="3"/>
      <c r="F141" s="13"/>
      <c r="G141" s="13"/>
      <c r="H141" s="20"/>
      <c r="J141" s="13"/>
    </row>
    <row r="142" spans="2:17" x14ac:dyDescent="0.25">
      <c r="D142" s="12"/>
      <c r="E142" s="3"/>
      <c r="F142" s="13"/>
      <c r="G142" s="13"/>
      <c r="H142" s="20"/>
      <c r="J142" s="13"/>
    </row>
    <row r="143" spans="2:17" x14ac:dyDescent="0.25">
      <c r="D143" s="12"/>
      <c r="E143" s="3"/>
      <c r="F143" s="13"/>
      <c r="G143" s="13"/>
      <c r="J143" s="13"/>
    </row>
    <row r="144" spans="2:17" x14ac:dyDescent="0.25">
      <c r="D144" s="12"/>
      <c r="E144" s="3"/>
      <c r="F144" s="13"/>
      <c r="G144" s="13"/>
      <c r="J144" s="13"/>
    </row>
    <row r="145" spans="4:10" x14ac:dyDescent="0.25">
      <c r="D145" s="12"/>
      <c r="E145" s="3"/>
      <c r="F145" s="13"/>
      <c r="G145" s="13"/>
      <c r="J145" s="13"/>
    </row>
    <row r="146" spans="4:10" x14ac:dyDescent="0.25">
      <c r="D146" s="12"/>
      <c r="E146" s="3"/>
      <c r="F146" s="13"/>
      <c r="G146" s="13"/>
      <c r="J146" s="13"/>
    </row>
    <row r="147" spans="4:10" x14ac:dyDescent="0.25">
      <c r="D147" s="12"/>
      <c r="E147" s="3"/>
      <c r="F147" s="13"/>
      <c r="G147" s="13"/>
      <c r="J147" s="13"/>
    </row>
    <row r="148" spans="4:10" x14ac:dyDescent="0.25">
      <c r="D148" s="12"/>
      <c r="E148" s="3"/>
      <c r="F148" s="13"/>
      <c r="G148" s="13"/>
      <c r="J148" s="13"/>
    </row>
    <row r="149" spans="4:10" x14ac:dyDescent="0.25">
      <c r="D149" s="12"/>
      <c r="E149" s="3"/>
      <c r="F149" s="13"/>
      <c r="G149" s="13"/>
      <c r="J149" s="13"/>
    </row>
    <row r="150" spans="4:10" x14ac:dyDescent="0.25">
      <c r="D150" s="12"/>
      <c r="E150" s="3"/>
      <c r="F150" s="13"/>
      <c r="G150" s="13"/>
      <c r="J150" s="13"/>
    </row>
    <row r="151" spans="4:10" x14ac:dyDescent="0.25">
      <c r="D151" s="12"/>
      <c r="E151" s="3"/>
      <c r="F151" s="13"/>
      <c r="G151" s="13"/>
      <c r="J151" s="13"/>
    </row>
    <row r="152" spans="4:10" x14ac:dyDescent="0.25">
      <c r="D152" s="12"/>
      <c r="E152" s="3"/>
      <c r="F152" s="13"/>
      <c r="G152" s="13"/>
      <c r="J152" s="13"/>
    </row>
    <row r="153" spans="4:10" x14ac:dyDescent="0.25">
      <c r="D153" s="12"/>
      <c r="E153" s="3"/>
      <c r="F153" s="13"/>
      <c r="G153" s="13"/>
      <c r="J153" s="13"/>
    </row>
    <row r="154" spans="4:10" x14ac:dyDescent="0.25">
      <c r="D154" s="12"/>
      <c r="E154" s="3"/>
      <c r="F154" s="13"/>
      <c r="G154" s="13"/>
      <c r="J154" s="13"/>
    </row>
    <row r="155" spans="4:10" x14ac:dyDescent="0.25">
      <c r="D155" s="12"/>
      <c r="E155" s="3"/>
      <c r="F155" s="13"/>
      <c r="G155" s="13"/>
      <c r="J155" s="13"/>
    </row>
    <row r="156" spans="4:10" x14ac:dyDescent="0.25">
      <c r="D156" s="12"/>
      <c r="F156" s="13"/>
      <c r="G156" s="13"/>
      <c r="J156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E19" sqref="E19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63</v>
      </c>
      <c r="C1" t="s">
        <v>63</v>
      </c>
    </row>
    <row r="2" spans="1:3" x14ac:dyDescent="0.25">
      <c r="A2" s="18">
        <v>36892</v>
      </c>
      <c r="C2" s="18">
        <v>36892</v>
      </c>
    </row>
    <row r="3" spans="1:3" x14ac:dyDescent="0.25">
      <c r="A3" s="18">
        <v>36916</v>
      </c>
      <c r="C3" s="18">
        <v>36948</v>
      </c>
    </row>
    <row r="4" spans="1:3" x14ac:dyDescent="0.25">
      <c r="A4" s="18">
        <v>36948</v>
      </c>
      <c r="C4" s="18">
        <v>36949</v>
      </c>
    </row>
    <row r="5" spans="1:3" x14ac:dyDescent="0.25">
      <c r="A5" s="18">
        <v>36949</v>
      </c>
      <c r="C5" s="18">
        <v>36994</v>
      </c>
    </row>
    <row r="6" spans="1:3" x14ac:dyDescent="0.25">
      <c r="A6" s="18">
        <v>36994</v>
      </c>
      <c r="C6" s="18">
        <v>37002</v>
      </c>
    </row>
    <row r="7" spans="1:3" x14ac:dyDescent="0.25">
      <c r="A7" s="18">
        <v>37002</v>
      </c>
      <c r="C7" s="18">
        <v>37012</v>
      </c>
    </row>
    <row r="8" spans="1:3" x14ac:dyDescent="0.25">
      <c r="A8" s="18">
        <v>37012</v>
      </c>
      <c r="C8" s="18">
        <v>37056</v>
      </c>
    </row>
    <row r="9" spans="1:3" x14ac:dyDescent="0.25">
      <c r="A9" s="18">
        <v>37056</v>
      </c>
      <c r="C9" s="18">
        <v>37141</v>
      </c>
    </row>
    <row r="10" spans="1:3" x14ac:dyDescent="0.25">
      <c r="A10" s="18">
        <v>37081</v>
      </c>
      <c r="C10" s="18">
        <v>37176</v>
      </c>
    </row>
    <row r="11" spans="1:3" x14ac:dyDescent="0.25">
      <c r="A11" s="18">
        <v>37141</v>
      </c>
      <c r="C11" s="18">
        <v>37197</v>
      </c>
    </row>
    <row r="12" spans="1:3" x14ac:dyDescent="0.25">
      <c r="A12" s="18">
        <v>37176</v>
      </c>
      <c r="C12" s="18">
        <v>37210</v>
      </c>
    </row>
    <row r="13" spans="1:3" x14ac:dyDescent="0.25">
      <c r="A13" s="18">
        <v>37197</v>
      </c>
      <c r="C13" s="18">
        <v>37250</v>
      </c>
    </row>
    <row r="14" spans="1:3" x14ac:dyDescent="0.25">
      <c r="A14" s="18">
        <v>37210</v>
      </c>
      <c r="C14" s="18">
        <v>37257</v>
      </c>
    </row>
    <row r="15" spans="1:3" x14ac:dyDescent="0.25">
      <c r="A15" s="18">
        <v>37215</v>
      </c>
      <c r="C15" s="18">
        <v>37298</v>
      </c>
    </row>
    <row r="16" spans="1:3" x14ac:dyDescent="0.25">
      <c r="A16" s="18">
        <v>37249</v>
      </c>
      <c r="C16" s="18">
        <v>37299</v>
      </c>
    </row>
    <row r="17" spans="1:3" x14ac:dyDescent="0.25">
      <c r="A17" s="18">
        <v>37250</v>
      </c>
      <c r="C17" s="18">
        <v>37344</v>
      </c>
    </row>
    <row r="18" spans="1:3" x14ac:dyDescent="0.25">
      <c r="A18" s="18">
        <v>37256</v>
      </c>
      <c r="C18" s="18">
        <v>37367</v>
      </c>
    </row>
    <row r="19" spans="1:3" x14ac:dyDescent="0.25">
      <c r="A19" s="18">
        <v>37257</v>
      </c>
      <c r="C19" s="18">
        <v>37377</v>
      </c>
    </row>
    <row r="20" spans="1:3" x14ac:dyDescent="0.25">
      <c r="A20" s="18">
        <v>37281</v>
      </c>
      <c r="C20" s="18">
        <v>37406</v>
      </c>
    </row>
    <row r="21" spans="1:3" x14ac:dyDescent="0.25">
      <c r="A21" s="18">
        <v>37298</v>
      </c>
      <c r="C21" s="18">
        <v>37506</v>
      </c>
    </row>
    <row r="22" spans="1:3" x14ac:dyDescent="0.25">
      <c r="A22" s="18">
        <v>37299</v>
      </c>
      <c r="C22" s="18">
        <v>37541</v>
      </c>
    </row>
    <row r="23" spans="1:3" x14ac:dyDescent="0.25">
      <c r="A23" s="18">
        <v>37344</v>
      </c>
      <c r="C23" s="18">
        <v>37562</v>
      </c>
    </row>
    <row r="24" spans="1:3" x14ac:dyDescent="0.25">
      <c r="A24" s="18">
        <v>37367</v>
      </c>
      <c r="C24" s="18">
        <v>37575</v>
      </c>
    </row>
    <row r="25" spans="1:3" x14ac:dyDescent="0.25">
      <c r="A25" s="18">
        <v>37377</v>
      </c>
      <c r="C25" s="18">
        <v>37615</v>
      </c>
    </row>
    <row r="26" spans="1:3" x14ac:dyDescent="0.25">
      <c r="A26" s="18">
        <v>37406</v>
      </c>
      <c r="C26" s="18">
        <v>37622</v>
      </c>
    </row>
    <row r="27" spans="1:3" x14ac:dyDescent="0.25">
      <c r="A27" s="18">
        <v>37446</v>
      </c>
      <c r="C27" s="18">
        <v>37683</v>
      </c>
    </row>
    <row r="28" spans="1:3" x14ac:dyDescent="0.25">
      <c r="A28" s="18">
        <v>37506</v>
      </c>
      <c r="C28" s="18">
        <v>37684</v>
      </c>
    </row>
    <row r="29" spans="1:3" x14ac:dyDescent="0.25">
      <c r="A29" s="18">
        <v>37541</v>
      </c>
      <c r="C29" s="18">
        <v>37729</v>
      </c>
    </row>
    <row r="30" spans="1:3" x14ac:dyDescent="0.25">
      <c r="A30" s="18">
        <v>37562</v>
      </c>
      <c r="C30" s="18">
        <v>37732</v>
      </c>
    </row>
    <row r="31" spans="1:3" x14ac:dyDescent="0.25">
      <c r="A31" s="18">
        <v>37575</v>
      </c>
      <c r="C31" s="18">
        <v>37742</v>
      </c>
    </row>
    <row r="32" spans="1:3" x14ac:dyDescent="0.25">
      <c r="A32" s="18">
        <v>37580</v>
      </c>
      <c r="C32" s="18">
        <v>37791</v>
      </c>
    </row>
    <row r="33" spans="1:3" x14ac:dyDescent="0.25">
      <c r="A33" s="18">
        <v>37614</v>
      </c>
      <c r="C33" s="18">
        <v>37871</v>
      </c>
    </row>
    <row r="34" spans="1:3" x14ac:dyDescent="0.25">
      <c r="A34" s="18">
        <v>37615</v>
      </c>
      <c r="C34" s="18">
        <v>37906</v>
      </c>
    </row>
    <row r="35" spans="1:3" x14ac:dyDescent="0.25">
      <c r="A35" s="18">
        <v>37621</v>
      </c>
      <c r="C35" s="18">
        <v>37927</v>
      </c>
    </row>
    <row r="36" spans="1:3" x14ac:dyDescent="0.25">
      <c r="A36" s="18">
        <v>37622</v>
      </c>
      <c r="C36" s="18">
        <v>37940</v>
      </c>
    </row>
    <row r="37" spans="1:3" x14ac:dyDescent="0.25">
      <c r="A37" s="18">
        <v>37646</v>
      </c>
      <c r="C37" s="18">
        <v>37980</v>
      </c>
    </row>
    <row r="38" spans="1:3" x14ac:dyDescent="0.25">
      <c r="A38" s="18">
        <v>37683</v>
      </c>
      <c r="C38" s="18">
        <v>37987</v>
      </c>
    </row>
    <row r="39" spans="1:3" x14ac:dyDescent="0.25">
      <c r="A39" s="18">
        <v>37684</v>
      </c>
      <c r="C39" s="18">
        <v>38040</v>
      </c>
    </row>
    <row r="40" spans="1:3" x14ac:dyDescent="0.25">
      <c r="A40" s="18">
        <v>37729</v>
      </c>
      <c r="C40" s="18">
        <v>38041</v>
      </c>
    </row>
    <row r="41" spans="1:3" x14ac:dyDescent="0.25">
      <c r="A41" s="18">
        <v>37732</v>
      </c>
      <c r="C41" s="18">
        <v>38086</v>
      </c>
    </row>
    <row r="42" spans="1:3" x14ac:dyDescent="0.25">
      <c r="A42" s="18">
        <v>37742</v>
      </c>
      <c r="C42" s="18">
        <v>38098</v>
      </c>
    </row>
    <row r="43" spans="1:3" x14ac:dyDescent="0.25">
      <c r="A43" s="18">
        <v>37791</v>
      </c>
      <c r="C43" s="18">
        <v>38108</v>
      </c>
    </row>
    <row r="44" spans="1:3" x14ac:dyDescent="0.25">
      <c r="A44" s="18">
        <v>37811</v>
      </c>
      <c r="C44" s="18">
        <v>38148</v>
      </c>
    </row>
    <row r="45" spans="1:3" x14ac:dyDescent="0.25">
      <c r="A45" s="18">
        <v>37871</v>
      </c>
      <c r="C45" s="18">
        <v>38237</v>
      </c>
    </row>
    <row r="46" spans="1:3" x14ac:dyDescent="0.25">
      <c r="A46" s="18">
        <v>37906</v>
      </c>
      <c r="C46" s="18">
        <v>38272</v>
      </c>
    </row>
    <row r="47" spans="1:3" x14ac:dyDescent="0.25">
      <c r="A47" s="18">
        <v>37927</v>
      </c>
      <c r="C47" s="18">
        <v>38293</v>
      </c>
    </row>
    <row r="48" spans="1:3" x14ac:dyDescent="0.25">
      <c r="A48" s="18">
        <v>37940</v>
      </c>
      <c r="C48" s="18">
        <v>38306</v>
      </c>
    </row>
    <row r="49" spans="1:3" x14ac:dyDescent="0.25">
      <c r="A49" s="18">
        <v>37945</v>
      </c>
      <c r="C49" s="18">
        <v>38346</v>
      </c>
    </row>
    <row r="50" spans="1:3" x14ac:dyDescent="0.25">
      <c r="A50" s="18">
        <v>37979</v>
      </c>
      <c r="C50" s="18">
        <v>38353</v>
      </c>
    </row>
    <row r="51" spans="1:3" x14ac:dyDescent="0.25">
      <c r="A51" s="18">
        <v>37980</v>
      </c>
      <c r="C51" s="18">
        <v>38390</v>
      </c>
    </row>
    <row r="52" spans="1:3" x14ac:dyDescent="0.25">
      <c r="A52" s="18">
        <v>37986</v>
      </c>
      <c r="C52" s="18">
        <v>38391</v>
      </c>
    </row>
    <row r="53" spans="1:3" x14ac:dyDescent="0.25">
      <c r="A53" s="18">
        <v>37987</v>
      </c>
      <c r="C53" s="18">
        <v>38436</v>
      </c>
    </row>
    <row r="54" spans="1:3" x14ac:dyDescent="0.25">
      <c r="A54" s="18">
        <v>38011</v>
      </c>
      <c r="C54" s="18">
        <v>38463</v>
      </c>
    </row>
    <row r="55" spans="1:3" x14ac:dyDescent="0.25">
      <c r="A55" s="18">
        <v>38040</v>
      </c>
      <c r="C55" s="18">
        <v>38473</v>
      </c>
    </row>
    <row r="56" spans="1:3" x14ac:dyDescent="0.25">
      <c r="A56" s="18">
        <v>38041</v>
      </c>
      <c r="C56" s="18">
        <v>38498</v>
      </c>
    </row>
    <row r="57" spans="1:3" x14ac:dyDescent="0.25">
      <c r="A57" s="18">
        <v>38086</v>
      </c>
      <c r="C57" s="18">
        <v>38602</v>
      </c>
    </row>
    <row r="58" spans="1:3" x14ac:dyDescent="0.25">
      <c r="A58" s="18">
        <v>38098</v>
      </c>
      <c r="C58" s="18">
        <v>38637</v>
      </c>
    </row>
    <row r="59" spans="1:3" x14ac:dyDescent="0.25">
      <c r="A59" s="18">
        <v>38108</v>
      </c>
      <c r="C59" s="18">
        <v>38658</v>
      </c>
    </row>
    <row r="60" spans="1:3" x14ac:dyDescent="0.25">
      <c r="A60" s="18">
        <v>38148</v>
      </c>
      <c r="C60" s="18">
        <v>38671</v>
      </c>
    </row>
    <row r="61" spans="1:3" x14ac:dyDescent="0.25">
      <c r="A61" s="18">
        <v>38177</v>
      </c>
      <c r="C61" s="18">
        <v>38711</v>
      </c>
    </row>
    <row r="62" spans="1:3" x14ac:dyDescent="0.25">
      <c r="A62" s="18">
        <v>38237</v>
      </c>
      <c r="C62" s="18">
        <v>38718</v>
      </c>
    </row>
    <row r="63" spans="1:3" x14ac:dyDescent="0.25">
      <c r="A63" s="18">
        <v>38272</v>
      </c>
      <c r="C63" s="18">
        <v>38775</v>
      </c>
    </row>
    <row r="64" spans="1:3" x14ac:dyDescent="0.25">
      <c r="A64" s="18">
        <v>38293</v>
      </c>
      <c r="C64" s="18">
        <v>38776</v>
      </c>
    </row>
    <row r="65" spans="1:3" x14ac:dyDescent="0.25">
      <c r="A65" s="18">
        <v>38306</v>
      </c>
      <c r="C65" s="18">
        <v>38821</v>
      </c>
    </row>
    <row r="66" spans="1:3" x14ac:dyDescent="0.25">
      <c r="A66" s="18">
        <v>38311</v>
      </c>
      <c r="C66" s="18">
        <v>38828</v>
      </c>
    </row>
    <row r="67" spans="1:3" x14ac:dyDescent="0.25">
      <c r="A67" s="18">
        <v>38345</v>
      </c>
      <c r="C67" s="18">
        <v>38838</v>
      </c>
    </row>
    <row r="68" spans="1:3" x14ac:dyDescent="0.25">
      <c r="A68" s="18">
        <v>38346</v>
      </c>
      <c r="C68" s="18">
        <v>38883</v>
      </c>
    </row>
    <row r="69" spans="1:3" x14ac:dyDescent="0.25">
      <c r="A69" s="18">
        <v>38352</v>
      </c>
      <c r="C69" s="18">
        <v>38967</v>
      </c>
    </row>
    <row r="70" spans="1:3" x14ac:dyDescent="0.25">
      <c r="A70" s="18">
        <v>38353</v>
      </c>
      <c r="C70" s="18">
        <v>39002</v>
      </c>
    </row>
    <row r="71" spans="1:3" x14ac:dyDescent="0.25">
      <c r="A71" s="18">
        <v>38377</v>
      </c>
      <c r="C71" s="18">
        <v>39023</v>
      </c>
    </row>
    <row r="72" spans="1:3" x14ac:dyDescent="0.25">
      <c r="A72" s="18">
        <v>38390</v>
      </c>
      <c r="C72" s="18">
        <v>39036</v>
      </c>
    </row>
    <row r="73" spans="1:3" x14ac:dyDescent="0.25">
      <c r="A73" s="18">
        <v>38391</v>
      </c>
      <c r="C73" s="18">
        <v>39076</v>
      </c>
    </row>
    <row r="74" spans="1:3" x14ac:dyDescent="0.25">
      <c r="A74" s="18">
        <v>38436</v>
      </c>
      <c r="C74" s="18">
        <v>39083</v>
      </c>
    </row>
    <row r="75" spans="1:3" x14ac:dyDescent="0.25">
      <c r="A75" s="18">
        <v>38463</v>
      </c>
      <c r="C75" s="18">
        <v>39132</v>
      </c>
    </row>
    <row r="76" spans="1:3" x14ac:dyDescent="0.25">
      <c r="A76" s="18">
        <v>38473</v>
      </c>
      <c r="C76" s="18">
        <v>39133</v>
      </c>
    </row>
    <row r="77" spans="1:3" x14ac:dyDescent="0.25">
      <c r="A77" s="18">
        <v>38498</v>
      </c>
      <c r="C77" s="18">
        <v>39178</v>
      </c>
    </row>
    <row r="78" spans="1:3" x14ac:dyDescent="0.25">
      <c r="A78" s="18">
        <v>38542</v>
      </c>
      <c r="C78" s="18">
        <v>39193</v>
      </c>
    </row>
    <row r="79" spans="1:3" x14ac:dyDescent="0.25">
      <c r="A79" s="18">
        <v>38602</v>
      </c>
      <c r="C79" s="18">
        <v>39203</v>
      </c>
    </row>
    <row r="80" spans="1:3" x14ac:dyDescent="0.25">
      <c r="A80" s="18">
        <v>38637</v>
      </c>
      <c r="C80" s="18">
        <v>39240</v>
      </c>
    </row>
    <row r="81" spans="1:3" x14ac:dyDescent="0.25">
      <c r="A81" s="18">
        <v>38658</v>
      </c>
      <c r="C81" s="18">
        <v>39332</v>
      </c>
    </row>
    <row r="82" spans="1:3" x14ac:dyDescent="0.25">
      <c r="A82" s="18">
        <v>38671</v>
      </c>
      <c r="C82" s="18">
        <v>39367</v>
      </c>
    </row>
    <row r="83" spans="1:3" x14ac:dyDescent="0.25">
      <c r="A83" s="18">
        <v>38676</v>
      </c>
      <c r="C83" s="18">
        <v>39388</v>
      </c>
    </row>
    <row r="84" spans="1:3" x14ac:dyDescent="0.25">
      <c r="A84" s="18">
        <v>38710</v>
      </c>
      <c r="C84" s="18">
        <v>39401</v>
      </c>
    </row>
    <row r="85" spans="1:3" x14ac:dyDescent="0.25">
      <c r="A85" s="18">
        <v>38711</v>
      </c>
      <c r="C85" s="18">
        <v>39441</v>
      </c>
    </row>
    <row r="86" spans="1:3" x14ac:dyDescent="0.25">
      <c r="A86" s="18">
        <v>38717</v>
      </c>
      <c r="C86" s="18">
        <v>39448</v>
      </c>
    </row>
    <row r="87" spans="1:3" x14ac:dyDescent="0.25">
      <c r="A87" s="18">
        <v>38718</v>
      </c>
      <c r="C87" s="18">
        <v>39482</v>
      </c>
    </row>
    <row r="88" spans="1:3" x14ac:dyDescent="0.25">
      <c r="A88" s="18">
        <v>38742</v>
      </c>
      <c r="C88" s="18">
        <v>39483</v>
      </c>
    </row>
    <row r="89" spans="1:3" x14ac:dyDescent="0.25">
      <c r="A89" s="18">
        <v>38775</v>
      </c>
      <c r="C89" s="18">
        <v>39528</v>
      </c>
    </row>
    <row r="90" spans="1:3" x14ac:dyDescent="0.25">
      <c r="A90" s="18">
        <v>38776</v>
      </c>
      <c r="C90" s="18">
        <v>39559</v>
      </c>
    </row>
    <row r="91" spans="1:3" x14ac:dyDescent="0.25">
      <c r="A91" s="18">
        <v>38821</v>
      </c>
      <c r="C91" s="18">
        <v>39569</v>
      </c>
    </row>
    <row r="92" spans="1:3" x14ac:dyDescent="0.25">
      <c r="A92" s="18">
        <v>38828</v>
      </c>
      <c r="C92" s="18">
        <v>39590</v>
      </c>
    </row>
    <row r="93" spans="1:3" x14ac:dyDescent="0.25">
      <c r="A93" s="18">
        <v>38838</v>
      </c>
      <c r="C93" s="18">
        <v>39698</v>
      </c>
    </row>
    <row r="94" spans="1:3" x14ac:dyDescent="0.25">
      <c r="A94" s="18">
        <v>38883</v>
      </c>
      <c r="C94" s="18">
        <v>39733</v>
      </c>
    </row>
    <row r="95" spans="1:3" x14ac:dyDescent="0.25">
      <c r="A95" s="18">
        <v>38907</v>
      </c>
      <c r="C95" s="18">
        <v>39754</v>
      </c>
    </row>
    <row r="96" spans="1:3" x14ac:dyDescent="0.25">
      <c r="A96" s="18">
        <v>38967</v>
      </c>
      <c r="C96" s="18">
        <v>39767</v>
      </c>
    </row>
    <row r="97" spans="1:3" x14ac:dyDescent="0.25">
      <c r="A97" s="18">
        <v>39002</v>
      </c>
      <c r="C97" s="18">
        <v>39807</v>
      </c>
    </row>
    <row r="98" spans="1:3" x14ac:dyDescent="0.25">
      <c r="A98" s="18">
        <v>39023</v>
      </c>
      <c r="C98" s="18">
        <v>39814</v>
      </c>
    </row>
    <row r="99" spans="1:3" x14ac:dyDescent="0.25">
      <c r="A99" s="18">
        <v>39036</v>
      </c>
      <c r="C99" s="18">
        <v>39867</v>
      </c>
    </row>
    <row r="100" spans="1:3" x14ac:dyDescent="0.25">
      <c r="A100" s="18">
        <v>39041</v>
      </c>
      <c r="C100" s="18">
        <v>39868</v>
      </c>
    </row>
    <row r="101" spans="1:3" x14ac:dyDescent="0.25">
      <c r="A101" s="18">
        <v>39075</v>
      </c>
      <c r="C101" s="18">
        <v>39913</v>
      </c>
    </row>
    <row r="102" spans="1:3" x14ac:dyDescent="0.25">
      <c r="A102" s="18">
        <v>39076</v>
      </c>
      <c r="C102" s="18">
        <v>39924</v>
      </c>
    </row>
    <row r="103" spans="1:3" x14ac:dyDescent="0.25">
      <c r="A103" s="18">
        <v>39082</v>
      </c>
      <c r="C103" s="18">
        <v>39934</v>
      </c>
    </row>
    <row r="104" spans="1:3" x14ac:dyDescent="0.25">
      <c r="A104" s="18">
        <v>39083</v>
      </c>
      <c r="C104" s="18">
        <v>39975</v>
      </c>
    </row>
    <row r="105" spans="1:3" x14ac:dyDescent="0.25">
      <c r="A105" s="18">
        <v>39107</v>
      </c>
      <c r="C105" s="18">
        <v>40063</v>
      </c>
    </row>
    <row r="106" spans="1:3" x14ac:dyDescent="0.25">
      <c r="A106" s="18">
        <v>39132</v>
      </c>
      <c r="C106" s="18">
        <v>40098</v>
      </c>
    </row>
    <row r="107" spans="1:3" x14ac:dyDescent="0.25">
      <c r="A107" s="18">
        <v>39133</v>
      </c>
      <c r="C107" s="18">
        <v>40119</v>
      </c>
    </row>
    <row r="108" spans="1:3" x14ac:dyDescent="0.25">
      <c r="A108" s="18">
        <v>39178</v>
      </c>
      <c r="C108" s="18">
        <v>40132</v>
      </c>
    </row>
    <row r="109" spans="1:3" x14ac:dyDescent="0.25">
      <c r="A109" s="18">
        <v>39193</v>
      </c>
      <c r="C109" s="18">
        <v>40172</v>
      </c>
    </row>
    <row r="110" spans="1:3" x14ac:dyDescent="0.25">
      <c r="A110" s="18">
        <v>39203</v>
      </c>
      <c r="C110" s="18">
        <v>40179</v>
      </c>
    </row>
    <row r="111" spans="1:3" x14ac:dyDescent="0.25">
      <c r="A111" s="18">
        <v>39240</v>
      </c>
      <c r="C111" s="18">
        <v>40224</v>
      </c>
    </row>
    <row r="112" spans="1:3" x14ac:dyDescent="0.25">
      <c r="A112" s="18">
        <v>39272</v>
      </c>
      <c r="C112" s="18">
        <v>40225</v>
      </c>
    </row>
    <row r="113" spans="1:3" x14ac:dyDescent="0.25">
      <c r="A113" s="18">
        <v>39332</v>
      </c>
      <c r="C113" s="18">
        <v>40270</v>
      </c>
    </row>
    <row r="114" spans="1:3" x14ac:dyDescent="0.25">
      <c r="A114" s="18">
        <v>39367</v>
      </c>
      <c r="C114" s="18">
        <v>40289</v>
      </c>
    </row>
    <row r="115" spans="1:3" x14ac:dyDescent="0.25">
      <c r="A115" s="18">
        <v>39388</v>
      </c>
      <c r="C115" s="18">
        <v>40299</v>
      </c>
    </row>
    <row r="116" spans="1:3" x14ac:dyDescent="0.25">
      <c r="A116" s="18">
        <v>39401</v>
      </c>
      <c r="C116" s="18">
        <v>40332</v>
      </c>
    </row>
    <row r="117" spans="1:3" x14ac:dyDescent="0.25">
      <c r="A117" s="18">
        <v>39406</v>
      </c>
      <c r="C117" s="18">
        <v>40428</v>
      </c>
    </row>
    <row r="118" spans="1:3" x14ac:dyDescent="0.25">
      <c r="A118" s="18">
        <v>39440</v>
      </c>
      <c r="C118" s="18">
        <v>40463</v>
      </c>
    </row>
    <row r="119" spans="1:3" x14ac:dyDescent="0.25">
      <c r="A119" s="18">
        <v>39441</v>
      </c>
      <c r="C119" s="18">
        <v>40484</v>
      </c>
    </row>
    <row r="120" spans="1:3" x14ac:dyDescent="0.25">
      <c r="A120" s="18">
        <v>39447</v>
      </c>
      <c r="C120" s="18">
        <v>40497</v>
      </c>
    </row>
    <row r="121" spans="1:3" x14ac:dyDescent="0.25">
      <c r="A121" s="18">
        <v>39448</v>
      </c>
      <c r="C121" s="18">
        <v>40537</v>
      </c>
    </row>
    <row r="122" spans="1:3" x14ac:dyDescent="0.25">
      <c r="A122" s="18">
        <v>39472</v>
      </c>
      <c r="C122" s="18">
        <v>40544</v>
      </c>
    </row>
    <row r="123" spans="1:3" x14ac:dyDescent="0.25">
      <c r="A123" s="18">
        <v>39482</v>
      </c>
      <c r="C123" s="18">
        <v>40609</v>
      </c>
    </row>
    <row r="124" spans="1:3" x14ac:dyDescent="0.25">
      <c r="A124" s="18">
        <v>39483</v>
      </c>
      <c r="C124" s="18">
        <v>40610</v>
      </c>
    </row>
    <row r="125" spans="1:3" x14ac:dyDescent="0.25">
      <c r="A125" s="18">
        <v>39528</v>
      </c>
      <c r="C125" s="18">
        <v>40654</v>
      </c>
    </row>
    <row r="126" spans="1:3" x14ac:dyDescent="0.25">
      <c r="A126" s="18">
        <v>39559</v>
      </c>
      <c r="C126" s="18">
        <v>40655</v>
      </c>
    </row>
    <row r="127" spans="1:3" x14ac:dyDescent="0.25">
      <c r="A127" s="18">
        <v>39569</v>
      </c>
      <c r="C127" s="18">
        <v>40664</v>
      </c>
    </row>
    <row r="128" spans="1:3" x14ac:dyDescent="0.25">
      <c r="A128" s="18">
        <v>39590</v>
      </c>
      <c r="C128" s="18">
        <v>40717</v>
      </c>
    </row>
    <row r="129" spans="1:3" x14ac:dyDescent="0.25">
      <c r="A129" s="18">
        <v>39638</v>
      </c>
      <c r="C129" s="18">
        <v>40793</v>
      </c>
    </row>
    <row r="130" spans="1:3" x14ac:dyDescent="0.25">
      <c r="A130" s="18">
        <v>39698</v>
      </c>
      <c r="C130" s="18">
        <v>40828</v>
      </c>
    </row>
    <row r="131" spans="1:3" x14ac:dyDescent="0.25">
      <c r="A131" s="18">
        <v>39733</v>
      </c>
      <c r="C131" s="18">
        <v>40849</v>
      </c>
    </row>
    <row r="132" spans="1:3" x14ac:dyDescent="0.25">
      <c r="A132" s="18">
        <v>39754</v>
      </c>
      <c r="C132" s="18">
        <v>40862</v>
      </c>
    </row>
    <row r="133" spans="1:3" x14ac:dyDescent="0.25">
      <c r="A133" s="18">
        <v>39767</v>
      </c>
      <c r="C133" s="18">
        <v>40902</v>
      </c>
    </row>
    <row r="134" spans="1:3" x14ac:dyDescent="0.25">
      <c r="A134" s="18">
        <v>39772</v>
      </c>
      <c r="C134" s="18">
        <v>40909</v>
      </c>
    </row>
    <row r="135" spans="1:3" x14ac:dyDescent="0.25">
      <c r="A135" s="18">
        <v>39806</v>
      </c>
      <c r="C135" s="18">
        <v>40959</v>
      </c>
    </row>
    <row r="136" spans="1:3" x14ac:dyDescent="0.25">
      <c r="A136" s="18">
        <v>39807</v>
      </c>
      <c r="C136" s="18">
        <v>40960</v>
      </c>
    </row>
    <row r="137" spans="1:3" x14ac:dyDescent="0.25">
      <c r="A137" s="18">
        <v>39813</v>
      </c>
      <c r="C137" s="18">
        <v>41005</v>
      </c>
    </row>
    <row r="138" spans="1:3" x14ac:dyDescent="0.25">
      <c r="A138" s="18">
        <v>39814</v>
      </c>
      <c r="C138" s="18">
        <v>41020</v>
      </c>
    </row>
    <row r="139" spans="1:3" x14ac:dyDescent="0.25">
      <c r="A139" s="18">
        <v>39838</v>
      </c>
      <c r="C139" s="18">
        <v>41030</v>
      </c>
    </row>
    <row r="140" spans="1:3" x14ac:dyDescent="0.25">
      <c r="A140" s="18">
        <v>39867</v>
      </c>
      <c r="C140" s="18">
        <v>41067</v>
      </c>
    </row>
    <row r="141" spans="1:3" x14ac:dyDescent="0.25">
      <c r="A141" s="18">
        <v>39868</v>
      </c>
      <c r="C141" s="18">
        <v>41159</v>
      </c>
    </row>
    <row r="142" spans="1:3" x14ac:dyDescent="0.25">
      <c r="A142" s="18">
        <v>39913</v>
      </c>
      <c r="C142" s="18">
        <v>41194</v>
      </c>
    </row>
    <row r="143" spans="1:3" x14ac:dyDescent="0.25">
      <c r="A143" s="18">
        <v>39924</v>
      </c>
      <c r="C143" s="18">
        <v>41215</v>
      </c>
    </row>
    <row r="144" spans="1:3" x14ac:dyDescent="0.25">
      <c r="A144" s="18">
        <v>39934</v>
      </c>
      <c r="C144" s="18">
        <v>41228</v>
      </c>
    </row>
    <row r="145" spans="1:3" x14ac:dyDescent="0.25">
      <c r="A145" s="18">
        <v>39975</v>
      </c>
      <c r="C145" s="18">
        <v>41268</v>
      </c>
    </row>
    <row r="146" spans="1:3" x14ac:dyDescent="0.25">
      <c r="A146" s="18">
        <v>40003</v>
      </c>
      <c r="C146" s="18">
        <v>41275</v>
      </c>
    </row>
    <row r="147" spans="1:3" x14ac:dyDescent="0.25">
      <c r="A147" s="18">
        <v>40063</v>
      </c>
      <c r="C147" s="18">
        <v>41316</v>
      </c>
    </row>
    <row r="148" spans="1:3" x14ac:dyDescent="0.25">
      <c r="A148" s="18">
        <v>40098</v>
      </c>
      <c r="C148" s="18">
        <v>41317</v>
      </c>
    </row>
    <row r="149" spans="1:3" x14ac:dyDescent="0.25">
      <c r="A149" s="18">
        <v>40119</v>
      </c>
      <c r="C149" s="18">
        <v>41362</v>
      </c>
    </row>
    <row r="150" spans="1:3" x14ac:dyDescent="0.25">
      <c r="A150" s="18">
        <v>40132</v>
      </c>
      <c r="C150" s="18">
        <v>41385</v>
      </c>
    </row>
    <row r="151" spans="1:3" x14ac:dyDescent="0.25">
      <c r="A151" s="18">
        <v>40137</v>
      </c>
      <c r="C151" s="18">
        <v>41395</v>
      </c>
    </row>
    <row r="152" spans="1:3" x14ac:dyDescent="0.25">
      <c r="A152" s="18">
        <v>40171</v>
      </c>
      <c r="C152" s="18">
        <v>41424</v>
      </c>
    </row>
    <row r="153" spans="1:3" x14ac:dyDescent="0.25">
      <c r="A153" s="18">
        <v>40172</v>
      </c>
      <c r="C153" s="18">
        <v>41524</v>
      </c>
    </row>
    <row r="154" spans="1:3" x14ac:dyDescent="0.25">
      <c r="A154" s="18">
        <v>40178</v>
      </c>
      <c r="C154" s="18">
        <v>41559</v>
      </c>
    </row>
    <row r="155" spans="1:3" x14ac:dyDescent="0.25">
      <c r="A155" s="18">
        <v>40179</v>
      </c>
      <c r="C155" s="18">
        <v>41580</v>
      </c>
    </row>
    <row r="156" spans="1:3" x14ac:dyDescent="0.25">
      <c r="A156" s="18">
        <v>40203</v>
      </c>
      <c r="C156" s="18">
        <v>41593</v>
      </c>
    </row>
    <row r="157" spans="1:3" x14ac:dyDescent="0.25">
      <c r="A157" s="18">
        <v>40224</v>
      </c>
      <c r="C157" s="18">
        <v>41633</v>
      </c>
    </row>
    <row r="158" spans="1:3" x14ac:dyDescent="0.25">
      <c r="A158" s="18">
        <v>40225</v>
      </c>
      <c r="C158" s="18">
        <v>41640</v>
      </c>
    </row>
    <row r="159" spans="1:3" x14ac:dyDescent="0.25">
      <c r="A159" s="18">
        <v>40270</v>
      </c>
      <c r="C159" s="18">
        <v>41701</v>
      </c>
    </row>
    <row r="160" spans="1:3" x14ac:dyDescent="0.25">
      <c r="A160" s="18">
        <v>40289</v>
      </c>
      <c r="C160" s="18">
        <v>41702</v>
      </c>
    </row>
    <row r="161" spans="1:3" x14ac:dyDescent="0.25">
      <c r="A161" s="18">
        <v>40299</v>
      </c>
      <c r="C161" s="18">
        <v>41747</v>
      </c>
    </row>
    <row r="162" spans="1:3" x14ac:dyDescent="0.25">
      <c r="A162" s="18">
        <v>40332</v>
      </c>
      <c r="C162" s="18">
        <v>41750</v>
      </c>
    </row>
    <row r="163" spans="1:3" x14ac:dyDescent="0.25">
      <c r="A163" s="18">
        <v>40368</v>
      </c>
      <c r="C163" s="18">
        <v>41760</v>
      </c>
    </row>
    <row r="164" spans="1:3" x14ac:dyDescent="0.25">
      <c r="A164" s="18">
        <v>40428</v>
      </c>
      <c r="C164" s="18">
        <v>41809</v>
      </c>
    </row>
    <row r="165" spans="1:3" x14ac:dyDescent="0.25">
      <c r="A165" s="18">
        <v>40463</v>
      </c>
      <c r="C165" s="18">
        <v>41889</v>
      </c>
    </row>
    <row r="166" spans="1:3" x14ac:dyDescent="0.25">
      <c r="A166" s="18">
        <v>40484</v>
      </c>
      <c r="C166" s="18">
        <v>41924</v>
      </c>
    </row>
    <row r="167" spans="1:3" x14ac:dyDescent="0.25">
      <c r="A167" s="18">
        <v>40497</v>
      </c>
      <c r="C167" s="18">
        <v>41945</v>
      </c>
    </row>
    <row r="168" spans="1:3" x14ac:dyDescent="0.25">
      <c r="A168" s="18">
        <v>40502</v>
      </c>
      <c r="C168" s="18">
        <v>41958</v>
      </c>
    </row>
    <row r="169" spans="1:3" x14ac:dyDescent="0.25">
      <c r="A169" s="18">
        <v>40536</v>
      </c>
      <c r="C169" s="18">
        <v>41998</v>
      </c>
    </row>
    <row r="170" spans="1:3" x14ac:dyDescent="0.25">
      <c r="A170" s="18">
        <v>40537</v>
      </c>
      <c r="C170" s="18">
        <v>42005</v>
      </c>
    </row>
    <row r="171" spans="1:3" x14ac:dyDescent="0.25">
      <c r="A171" s="18">
        <v>40543</v>
      </c>
      <c r="C171" s="18">
        <v>42051</v>
      </c>
    </row>
    <row r="172" spans="1:3" x14ac:dyDescent="0.25">
      <c r="A172" s="18">
        <v>40544</v>
      </c>
      <c r="C172" s="18">
        <v>42052</v>
      </c>
    </row>
    <row r="173" spans="1:3" x14ac:dyDescent="0.25">
      <c r="A173" s="18">
        <v>40568</v>
      </c>
      <c r="C173" s="18">
        <v>42097</v>
      </c>
    </row>
    <row r="174" spans="1:3" x14ac:dyDescent="0.25">
      <c r="A174" s="18">
        <v>40609</v>
      </c>
      <c r="C174" s="18">
        <v>42115</v>
      </c>
    </row>
    <row r="175" spans="1:3" x14ac:dyDescent="0.25">
      <c r="A175" s="18">
        <v>40610</v>
      </c>
      <c r="C175" s="18">
        <v>42125</v>
      </c>
    </row>
    <row r="176" spans="1:3" x14ac:dyDescent="0.25">
      <c r="A176" s="18">
        <v>40654</v>
      </c>
      <c r="C176" s="18">
        <v>42159</v>
      </c>
    </row>
    <row r="177" spans="1:3" x14ac:dyDescent="0.25">
      <c r="A177" s="18">
        <v>40655</v>
      </c>
      <c r="C177" s="18">
        <v>42254</v>
      </c>
    </row>
    <row r="178" spans="1:3" x14ac:dyDescent="0.25">
      <c r="A178" s="18">
        <v>40664</v>
      </c>
      <c r="C178" s="18">
        <v>42289</v>
      </c>
    </row>
    <row r="179" spans="1:3" x14ac:dyDescent="0.25">
      <c r="A179" s="18">
        <v>40717</v>
      </c>
      <c r="C179" s="18">
        <v>42310</v>
      </c>
    </row>
    <row r="180" spans="1:3" x14ac:dyDescent="0.25">
      <c r="A180" s="18">
        <v>40733</v>
      </c>
      <c r="C180" s="18">
        <v>42323</v>
      </c>
    </row>
    <row r="181" spans="1:3" x14ac:dyDescent="0.25">
      <c r="A181" s="18">
        <v>40793</v>
      </c>
      <c r="C181" s="18">
        <v>42363</v>
      </c>
    </row>
    <row r="182" spans="1:3" x14ac:dyDescent="0.25">
      <c r="A182" s="18">
        <v>40828</v>
      </c>
      <c r="C182" s="18">
        <v>42370</v>
      </c>
    </row>
    <row r="183" spans="1:3" x14ac:dyDescent="0.25">
      <c r="A183" s="18">
        <v>40849</v>
      </c>
      <c r="C183" s="18">
        <v>42408</v>
      </c>
    </row>
    <row r="184" spans="1:3" x14ac:dyDescent="0.25">
      <c r="A184" s="18">
        <v>40862</v>
      </c>
      <c r="C184" s="18">
        <v>42409</v>
      </c>
    </row>
    <row r="185" spans="1:3" x14ac:dyDescent="0.25">
      <c r="A185" s="18">
        <v>40867</v>
      </c>
      <c r="C185" s="18">
        <v>42454</v>
      </c>
    </row>
    <row r="186" spans="1:3" x14ac:dyDescent="0.25">
      <c r="A186" s="18">
        <v>40901</v>
      </c>
      <c r="C186" s="18">
        <v>42481</v>
      </c>
    </row>
    <row r="187" spans="1:3" x14ac:dyDescent="0.25">
      <c r="A187" s="18">
        <v>40902</v>
      </c>
      <c r="C187" s="18">
        <v>42491</v>
      </c>
    </row>
    <row r="188" spans="1:3" x14ac:dyDescent="0.25">
      <c r="A188" s="18">
        <v>40908</v>
      </c>
      <c r="C188" s="18">
        <v>42516</v>
      </c>
    </row>
    <row r="189" spans="1:3" x14ac:dyDescent="0.25">
      <c r="A189" s="18">
        <v>40909</v>
      </c>
      <c r="C189" s="18">
        <v>42620</v>
      </c>
    </row>
    <row r="190" spans="1:3" x14ac:dyDescent="0.25">
      <c r="A190" s="18">
        <v>40933</v>
      </c>
      <c r="C190" s="18">
        <v>42655</v>
      </c>
    </row>
    <row r="191" spans="1:3" x14ac:dyDescent="0.25">
      <c r="A191" s="18">
        <v>40959</v>
      </c>
      <c r="C191" s="18">
        <v>42676</v>
      </c>
    </row>
    <row r="192" spans="1:3" x14ac:dyDescent="0.25">
      <c r="A192" s="18">
        <v>40960</v>
      </c>
      <c r="C192" s="18">
        <v>42689</v>
      </c>
    </row>
    <row r="193" spans="1:3" x14ac:dyDescent="0.25">
      <c r="A193" s="18">
        <v>41005</v>
      </c>
      <c r="C193" s="18">
        <v>42729</v>
      </c>
    </row>
    <row r="194" spans="1:3" x14ac:dyDescent="0.25">
      <c r="A194" s="18">
        <v>41020</v>
      </c>
      <c r="C194" s="18">
        <v>42736</v>
      </c>
    </row>
    <row r="195" spans="1:3" x14ac:dyDescent="0.25">
      <c r="A195" s="18">
        <v>41030</v>
      </c>
      <c r="C195" s="18">
        <v>42793</v>
      </c>
    </row>
    <row r="196" spans="1:3" x14ac:dyDescent="0.25">
      <c r="A196" s="18">
        <v>41067</v>
      </c>
      <c r="C196" s="18">
        <v>42794</v>
      </c>
    </row>
    <row r="197" spans="1:3" x14ac:dyDescent="0.25">
      <c r="A197" s="18">
        <v>41099</v>
      </c>
      <c r="C197" s="18">
        <v>42839</v>
      </c>
    </row>
    <row r="198" spans="1:3" x14ac:dyDescent="0.25">
      <c r="A198" s="18">
        <v>41159</v>
      </c>
      <c r="C198" s="18">
        <v>42846</v>
      </c>
    </row>
    <row r="199" spans="1:3" x14ac:dyDescent="0.25">
      <c r="A199" s="18">
        <v>41194</v>
      </c>
      <c r="C199" s="18">
        <v>42856</v>
      </c>
    </row>
    <row r="200" spans="1:3" x14ac:dyDescent="0.25">
      <c r="A200" s="18">
        <v>41215</v>
      </c>
      <c r="C200" s="18">
        <v>42901</v>
      </c>
    </row>
    <row r="201" spans="1:3" x14ac:dyDescent="0.25">
      <c r="A201" s="18">
        <v>41228</v>
      </c>
      <c r="C201" s="18">
        <v>42985</v>
      </c>
    </row>
    <row r="202" spans="1:3" x14ac:dyDescent="0.25">
      <c r="A202" s="18">
        <v>41233</v>
      </c>
      <c r="C202" s="18">
        <v>43020</v>
      </c>
    </row>
    <row r="203" spans="1:3" x14ac:dyDescent="0.25">
      <c r="A203" s="18">
        <v>41267</v>
      </c>
      <c r="C203" s="18">
        <v>43041</v>
      </c>
    </row>
    <row r="204" spans="1:3" x14ac:dyDescent="0.25">
      <c r="A204" s="18">
        <v>41268</v>
      </c>
      <c r="C204" s="18">
        <v>43054</v>
      </c>
    </row>
    <row r="205" spans="1:3" x14ac:dyDescent="0.25">
      <c r="A205" s="18">
        <v>41274</v>
      </c>
      <c r="C205" s="18">
        <v>43094</v>
      </c>
    </row>
    <row r="206" spans="1:3" x14ac:dyDescent="0.25">
      <c r="A206" s="18">
        <v>41275</v>
      </c>
      <c r="C206" s="18">
        <v>43101</v>
      </c>
    </row>
    <row r="207" spans="1:3" x14ac:dyDescent="0.25">
      <c r="A207" s="18">
        <v>41299</v>
      </c>
      <c r="C207" s="18">
        <v>43143</v>
      </c>
    </row>
    <row r="208" spans="1:3" x14ac:dyDescent="0.25">
      <c r="A208" s="18">
        <v>41316</v>
      </c>
      <c r="C208" s="18">
        <v>43144</v>
      </c>
    </row>
    <row r="209" spans="1:3" x14ac:dyDescent="0.25">
      <c r="A209" s="18">
        <v>41317</v>
      </c>
      <c r="C209" s="18">
        <v>43189</v>
      </c>
    </row>
    <row r="210" spans="1:3" x14ac:dyDescent="0.25">
      <c r="A210" s="18">
        <v>41362</v>
      </c>
      <c r="C210" s="18">
        <v>43211</v>
      </c>
    </row>
    <row r="211" spans="1:3" x14ac:dyDescent="0.25">
      <c r="A211" s="18">
        <v>41385</v>
      </c>
      <c r="C211" s="18">
        <v>43221</v>
      </c>
    </row>
    <row r="212" spans="1:3" x14ac:dyDescent="0.25">
      <c r="A212" s="18">
        <v>41395</v>
      </c>
      <c r="C212" s="18">
        <v>43251</v>
      </c>
    </row>
    <row r="213" spans="1:3" x14ac:dyDescent="0.25">
      <c r="A213" s="18">
        <v>41424</v>
      </c>
      <c r="C213" s="18">
        <v>43350</v>
      </c>
    </row>
    <row r="214" spans="1:3" x14ac:dyDescent="0.25">
      <c r="A214" s="18">
        <v>41464</v>
      </c>
      <c r="C214" s="18">
        <v>43385</v>
      </c>
    </row>
    <row r="215" spans="1:3" x14ac:dyDescent="0.25">
      <c r="A215" s="18">
        <v>41524</v>
      </c>
      <c r="C215" s="18">
        <v>43406</v>
      </c>
    </row>
    <row r="216" spans="1:3" x14ac:dyDescent="0.25">
      <c r="A216" s="18">
        <v>41559</v>
      </c>
      <c r="C216" s="18">
        <v>43419</v>
      </c>
    </row>
    <row r="217" spans="1:3" x14ac:dyDescent="0.25">
      <c r="A217" s="18">
        <v>41580</v>
      </c>
      <c r="C217" s="18">
        <v>43459</v>
      </c>
    </row>
    <row r="218" spans="1:3" x14ac:dyDescent="0.25">
      <c r="A218" s="18">
        <v>41593</v>
      </c>
      <c r="C218" s="18">
        <v>43466</v>
      </c>
    </row>
    <row r="219" spans="1:3" x14ac:dyDescent="0.25">
      <c r="A219" s="18">
        <v>41598</v>
      </c>
      <c r="C219" s="18">
        <v>43528</v>
      </c>
    </row>
    <row r="220" spans="1:3" x14ac:dyDescent="0.25">
      <c r="A220" s="18">
        <v>41632</v>
      </c>
      <c r="C220" s="18">
        <v>43529</v>
      </c>
    </row>
    <row r="221" spans="1:3" x14ac:dyDescent="0.25">
      <c r="A221" s="18">
        <v>41633</v>
      </c>
      <c r="C221" s="18">
        <v>43574</v>
      </c>
    </row>
    <row r="222" spans="1:3" x14ac:dyDescent="0.25">
      <c r="A222" s="18">
        <v>41639</v>
      </c>
      <c r="C222" s="18">
        <v>43576</v>
      </c>
    </row>
    <row r="223" spans="1:3" x14ac:dyDescent="0.25">
      <c r="A223" s="18">
        <v>41640</v>
      </c>
      <c r="C223" s="18">
        <v>43586</v>
      </c>
    </row>
    <row r="224" spans="1:3" x14ac:dyDescent="0.25">
      <c r="A224" s="18">
        <v>41664</v>
      </c>
      <c r="C224" s="18">
        <v>43636</v>
      </c>
    </row>
    <row r="225" spans="1:3" x14ac:dyDescent="0.25">
      <c r="A225" s="18">
        <v>41701</v>
      </c>
      <c r="C225" s="18">
        <v>43715</v>
      </c>
    </row>
    <row r="226" spans="1:3" x14ac:dyDescent="0.25">
      <c r="A226" s="18">
        <v>41702</v>
      </c>
      <c r="C226" s="18">
        <v>43750</v>
      </c>
    </row>
    <row r="227" spans="1:3" x14ac:dyDescent="0.25">
      <c r="A227" s="18">
        <v>41747</v>
      </c>
      <c r="C227" s="18">
        <v>43771</v>
      </c>
    </row>
    <row r="228" spans="1:3" x14ac:dyDescent="0.25">
      <c r="A228" s="18">
        <v>41750</v>
      </c>
      <c r="C228" s="18">
        <v>43784</v>
      </c>
    </row>
    <row r="229" spans="1:3" x14ac:dyDescent="0.25">
      <c r="A229" s="18">
        <v>41760</v>
      </c>
      <c r="C229" s="18">
        <v>43824</v>
      </c>
    </row>
    <row r="230" spans="1:3" x14ac:dyDescent="0.25">
      <c r="A230" s="18">
        <v>41809</v>
      </c>
      <c r="C230" s="18">
        <v>43831</v>
      </c>
    </row>
    <row r="231" spans="1:3" x14ac:dyDescent="0.25">
      <c r="A231" s="18">
        <v>41829</v>
      </c>
      <c r="C231" s="18">
        <v>43885</v>
      </c>
    </row>
    <row r="232" spans="1:3" x14ac:dyDescent="0.25">
      <c r="A232" s="18">
        <v>41889</v>
      </c>
      <c r="C232" s="18">
        <v>43886</v>
      </c>
    </row>
    <row r="233" spans="1:3" x14ac:dyDescent="0.25">
      <c r="A233" s="18">
        <v>41924</v>
      </c>
      <c r="C233" s="18">
        <v>43931</v>
      </c>
    </row>
    <row r="234" spans="1:3" x14ac:dyDescent="0.25">
      <c r="A234" s="18">
        <v>41945</v>
      </c>
      <c r="C234" s="18">
        <v>43942</v>
      </c>
    </row>
    <row r="235" spans="1:3" x14ac:dyDescent="0.25">
      <c r="A235" s="18">
        <v>41958</v>
      </c>
      <c r="C235" s="18">
        <v>43952</v>
      </c>
    </row>
    <row r="236" spans="1:3" x14ac:dyDescent="0.25">
      <c r="A236" s="18">
        <v>41963</v>
      </c>
      <c r="C236" s="18">
        <v>43993</v>
      </c>
    </row>
    <row r="237" spans="1:3" x14ac:dyDescent="0.25">
      <c r="A237" s="18">
        <v>41997</v>
      </c>
      <c r="C237" s="18">
        <v>44081</v>
      </c>
    </row>
    <row r="238" spans="1:3" x14ac:dyDescent="0.25">
      <c r="A238" s="18">
        <v>41998</v>
      </c>
      <c r="C238" s="18">
        <v>44116</v>
      </c>
    </row>
    <row r="239" spans="1:3" x14ac:dyDescent="0.25">
      <c r="A239" s="18">
        <v>42004</v>
      </c>
      <c r="C239" s="18">
        <v>44137</v>
      </c>
    </row>
    <row r="240" spans="1:3" x14ac:dyDescent="0.25">
      <c r="A240" s="18">
        <v>42005</v>
      </c>
      <c r="C240" s="18">
        <v>44150</v>
      </c>
    </row>
    <row r="241" spans="1:3" x14ac:dyDescent="0.25">
      <c r="A241" s="18">
        <v>42029</v>
      </c>
      <c r="C241" s="18">
        <v>44190</v>
      </c>
    </row>
    <row r="242" spans="1:3" x14ac:dyDescent="0.25">
      <c r="A242" s="18">
        <v>42051</v>
      </c>
      <c r="C242" s="18">
        <v>44197</v>
      </c>
    </row>
    <row r="243" spans="1:3" x14ac:dyDescent="0.25">
      <c r="A243" s="18">
        <v>42052</v>
      </c>
      <c r="C243" s="18">
        <v>44242</v>
      </c>
    </row>
    <row r="244" spans="1:3" x14ac:dyDescent="0.25">
      <c r="A244" s="18">
        <v>42097</v>
      </c>
      <c r="C244" s="18">
        <v>44243</v>
      </c>
    </row>
    <row r="245" spans="1:3" x14ac:dyDescent="0.25">
      <c r="A245" s="18">
        <v>42115</v>
      </c>
      <c r="C245" s="18">
        <v>44288</v>
      </c>
    </row>
    <row r="246" spans="1:3" x14ac:dyDescent="0.25">
      <c r="A246" s="18">
        <v>42125</v>
      </c>
      <c r="C246" s="18">
        <v>44307</v>
      </c>
    </row>
    <row r="247" spans="1:3" x14ac:dyDescent="0.25">
      <c r="A247" s="18">
        <v>42159</v>
      </c>
      <c r="C247" s="18">
        <v>44317</v>
      </c>
    </row>
    <row r="248" spans="1:3" x14ac:dyDescent="0.25">
      <c r="A248" s="18">
        <v>42194</v>
      </c>
      <c r="C248" s="18">
        <v>44350</v>
      </c>
    </row>
    <row r="249" spans="1:3" x14ac:dyDescent="0.25">
      <c r="A249" s="18">
        <v>42254</v>
      </c>
      <c r="C249" s="18">
        <v>44446</v>
      </c>
    </row>
    <row r="250" spans="1:3" x14ac:dyDescent="0.25">
      <c r="A250" s="18">
        <v>42289</v>
      </c>
      <c r="C250" s="18">
        <v>44481</v>
      </c>
    </row>
    <row r="251" spans="1:3" x14ac:dyDescent="0.25">
      <c r="A251" s="18">
        <v>42310</v>
      </c>
      <c r="C251" s="18">
        <v>44502</v>
      </c>
    </row>
    <row r="252" spans="1:3" x14ac:dyDescent="0.25">
      <c r="A252" s="18">
        <v>42323</v>
      </c>
      <c r="C252" s="18">
        <v>44515</v>
      </c>
    </row>
    <row r="253" spans="1:3" x14ac:dyDescent="0.25">
      <c r="A253" s="18">
        <v>42328</v>
      </c>
      <c r="C253" s="18">
        <v>44555</v>
      </c>
    </row>
    <row r="254" spans="1:3" x14ac:dyDescent="0.25">
      <c r="A254" s="18">
        <v>42362</v>
      </c>
      <c r="C254" s="18">
        <v>44562</v>
      </c>
    </row>
    <row r="255" spans="1:3" x14ac:dyDescent="0.25">
      <c r="A255" s="18">
        <v>42363</v>
      </c>
      <c r="C255" s="18">
        <v>44620</v>
      </c>
    </row>
    <row r="256" spans="1:3" x14ac:dyDescent="0.25">
      <c r="A256" s="18">
        <v>42369</v>
      </c>
      <c r="C256" s="18">
        <v>44621</v>
      </c>
    </row>
    <row r="257" spans="1:3" x14ac:dyDescent="0.25">
      <c r="A257" s="18">
        <v>42370</v>
      </c>
      <c r="C257" s="18">
        <v>44666</v>
      </c>
    </row>
    <row r="258" spans="1:3" x14ac:dyDescent="0.25">
      <c r="A258" s="18">
        <v>42394</v>
      </c>
      <c r="C258" s="18">
        <v>44672</v>
      </c>
    </row>
    <row r="259" spans="1:3" x14ac:dyDescent="0.25">
      <c r="A259" s="18">
        <v>42408</v>
      </c>
      <c r="C259" s="18">
        <v>44682</v>
      </c>
    </row>
    <row r="260" spans="1:3" x14ac:dyDescent="0.25">
      <c r="A260" s="18">
        <v>42409</v>
      </c>
      <c r="C260" s="18">
        <v>44728</v>
      </c>
    </row>
    <row r="261" spans="1:3" x14ac:dyDescent="0.25">
      <c r="A261" s="18">
        <v>42454</v>
      </c>
      <c r="C261" s="18">
        <v>44811</v>
      </c>
    </row>
    <row r="262" spans="1:3" x14ac:dyDescent="0.25">
      <c r="A262" s="18">
        <v>42481</v>
      </c>
      <c r="C262" s="18">
        <v>44846</v>
      </c>
    </row>
    <row r="263" spans="1:3" x14ac:dyDescent="0.25">
      <c r="A263" s="18">
        <v>42491</v>
      </c>
      <c r="C263" s="18">
        <v>44867</v>
      </c>
    </row>
    <row r="264" spans="1:3" x14ac:dyDescent="0.25">
      <c r="A264" s="18">
        <v>42516</v>
      </c>
      <c r="C264" s="18">
        <v>44880</v>
      </c>
    </row>
    <row r="265" spans="1:3" x14ac:dyDescent="0.25">
      <c r="A265" s="18">
        <v>42560</v>
      </c>
      <c r="C265" s="18">
        <v>44920</v>
      </c>
    </row>
    <row r="266" spans="1:3" x14ac:dyDescent="0.25">
      <c r="A266" s="18">
        <v>42620</v>
      </c>
      <c r="C266" s="18">
        <v>44927</v>
      </c>
    </row>
    <row r="267" spans="1:3" x14ac:dyDescent="0.25">
      <c r="A267" s="18">
        <v>42655</v>
      </c>
      <c r="C267" s="18">
        <v>44977</v>
      </c>
    </row>
    <row r="268" spans="1:3" x14ac:dyDescent="0.25">
      <c r="A268" s="18">
        <v>42676</v>
      </c>
      <c r="C268" s="18">
        <v>44978</v>
      </c>
    </row>
    <row r="269" spans="1:3" x14ac:dyDescent="0.25">
      <c r="A269" s="18">
        <v>42689</v>
      </c>
      <c r="C269" s="18">
        <v>45023</v>
      </c>
    </row>
    <row r="270" spans="1:3" x14ac:dyDescent="0.25">
      <c r="A270" s="18">
        <v>42694</v>
      </c>
      <c r="C270" s="18">
        <v>45037</v>
      </c>
    </row>
    <row r="271" spans="1:3" x14ac:dyDescent="0.25">
      <c r="A271" s="18">
        <v>42728</v>
      </c>
      <c r="C271" s="18">
        <v>45047</v>
      </c>
    </row>
    <row r="272" spans="1:3" x14ac:dyDescent="0.25">
      <c r="A272" s="18">
        <v>42729</v>
      </c>
      <c r="C272" s="18">
        <v>45085</v>
      </c>
    </row>
    <row r="273" spans="1:3" x14ac:dyDescent="0.25">
      <c r="A273" s="18">
        <v>42735</v>
      </c>
      <c r="C273" s="18">
        <v>45176</v>
      </c>
    </row>
    <row r="274" spans="1:3" x14ac:dyDescent="0.25">
      <c r="A274" s="18">
        <v>42736</v>
      </c>
      <c r="C274" s="18">
        <v>45211</v>
      </c>
    </row>
    <row r="275" spans="1:3" x14ac:dyDescent="0.25">
      <c r="A275" s="18">
        <v>42760</v>
      </c>
      <c r="C275" s="18">
        <v>45232</v>
      </c>
    </row>
    <row r="276" spans="1:3" x14ac:dyDescent="0.25">
      <c r="A276" s="18">
        <v>42793</v>
      </c>
      <c r="C276" s="18">
        <v>45245</v>
      </c>
    </row>
    <row r="277" spans="1:3" x14ac:dyDescent="0.25">
      <c r="A277" s="18">
        <v>42794</v>
      </c>
      <c r="C277" s="18">
        <v>45285</v>
      </c>
    </row>
    <row r="278" spans="1:3" x14ac:dyDescent="0.25">
      <c r="A278" s="18">
        <v>42839</v>
      </c>
      <c r="C278" s="18">
        <v>45292</v>
      </c>
    </row>
    <row r="279" spans="1:3" x14ac:dyDescent="0.25">
      <c r="A279" s="18">
        <v>42846</v>
      </c>
      <c r="C279" s="18">
        <v>45334</v>
      </c>
    </row>
    <row r="280" spans="1:3" x14ac:dyDescent="0.25">
      <c r="A280" s="18">
        <v>42856</v>
      </c>
      <c r="C280" s="18">
        <v>45335</v>
      </c>
    </row>
    <row r="281" spans="1:3" x14ac:dyDescent="0.25">
      <c r="A281" s="18">
        <v>42901</v>
      </c>
      <c r="C281" s="18">
        <v>45380</v>
      </c>
    </row>
    <row r="282" spans="1:3" x14ac:dyDescent="0.25">
      <c r="A282" s="18">
        <v>42925</v>
      </c>
      <c r="C282" s="18">
        <v>45403</v>
      </c>
    </row>
    <row r="283" spans="1:3" x14ac:dyDescent="0.25">
      <c r="A283" s="18">
        <v>42985</v>
      </c>
      <c r="C283" s="18">
        <v>45413</v>
      </c>
    </row>
    <row r="284" spans="1:3" x14ac:dyDescent="0.25">
      <c r="A284" s="18">
        <v>43020</v>
      </c>
      <c r="C284" s="18">
        <v>45442</v>
      </c>
    </row>
    <row r="285" spans="1:3" x14ac:dyDescent="0.25">
      <c r="A285" s="18">
        <v>43041</v>
      </c>
      <c r="C285" s="18">
        <v>45542</v>
      </c>
    </row>
    <row r="286" spans="1:3" x14ac:dyDescent="0.25">
      <c r="A286" s="18">
        <v>43054</v>
      </c>
      <c r="C286" s="18">
        <v>45577</v>
      </c>
    </row>
    <row r="287" spans="1:3" x14ac:dyDescent="0.25">
      <c r="A287" s="18">
        <v>43059</v>
      </c>
      <c r="C287" s="18">
        <v>45598</v>
      </c>
    </row>
    <row r="288" spans="1:3" x14ac:dyDescent="0.25">
      <c r="A288" s="18">
        <v>43093</v>
      </c>
      <c r="C288" s="18">
        <v>45611</v>
      </c>
    </row>
    <row r="289" spans="1:3" x14ac:dyDescent="0.25">
      <c r="A289" s="18">
        <v>43094</v>
      </c>
      <c r="C289" s="18">
        <v>45616</v>
      </c>
    </row>
    <row r="290" spans="1:3" x14ac:dyDescent="0.25">
      <c r="A290" s="18">
        <v>43100</v>
      </c>
      <c r="C290" s="18">
        <v>45651</v>
      </c>
    </row>
    <row r="291" spans="1:3" x14ac:dyDescent="0.25">
      <c r="A291" s="18">
        <v>43101</v>
      </c>
      <c r="C291" s="18">
        <v>45658</v>
      </c>
    </row>
    <row r="292" spans="1:3" x14ac:dyDescent="0.25">
      <c r="A292" s="18">
        <v>43125</v>
      </c>
      <c r="C292" s="18">
        <v>45719</v>
      </c>
    </row>
    <row r="293" spans="1:3" x14ac:dyDescent="0.25">
      <c r="A293" s="18">
        <v>43143</v>
      </c>
      <c r="C293" s="18">
        <v>45720</v>
      </c>
    </row>
    <row r="294" spans="1:3" x14ac:dyDescent="0.25">
      <c r="A294" s="18">
        <v>43144</v>
      </c>
      <c r="C294" s="18">
        <v>45765</v>
      </c>
    </row>
    <row r="295" spans="1:3" x14ac:dyDescent="0.25">
      <c r="A295" s="18">
        <v>43189</v>
      </c>
      <c r="C295" s="18">
        <v>45768</v>
      </c>
    </row>
    <row r="296" spans="1:3" x14ac:dyDescent="0.25">
      <c r="A296" s="18">
        <v>43211</v>
      </c>
      <c r="C296" s="18">
        <v>45778</v>
      </c>
    </row>
    <row r="297" spans="1:3" x14ac:dyDescent="0.25">
      <c r="A297" s="18">
        <v>43221</v>
      </c>
      <c r="C297" s="18">
        <v>45827</v>
      </c>
    </row>
    <row r="298" spans="1:3" x14ac:dyDescent="0.25">
      <c r="A298" s="18">
        <v>43251</v>
      </c>
      <c r="C298" s="18">
        <v>45907</v>
      </c>
    </row>
    <row r="299" spans="1:3" x14ac:dyDescent="0.25">
      <c r="A299" s="18">
        <v>43290</v>
      </c>
      <c r="C299" s="18">
        <v>45942</v>
      </c>
    </row>
    <row r="300" spans="1:3" x14ac:dyDescent="0.25">
      <c r="A300" s="18">
        <v>43350</v>
      </c>
      <c r="C300" s="18">
        <v>45963</v>
      </c>
    </row>
    <row r="301" spans="1:3" x14ac:dyDescent="0.25">
      <c r="A301" s="18">
        <v>43385</v>
      </c>
      <c r="C301" s="18">
        <v>45976</v>
      </c>
    </row>
    <row r="302" spans="1:3" x14ac:dyDescent="0.25">
      <c r="A302" s="18">
        <v>43406</v>
      </c>
      <c r="C302" s="18">
        <v>45981</v>
      </c>
    </row>
    <row r="303" spans="1:3" x14ac:dyDescent="0.25">
      <c r="A303" s="18">
        <v>43419</v>
      </c>
      <c r="C303" s="18">
        <v>46016</v>
      </c>
    </row>
    <row r="304" spans="1:3" x14ac:dyDescent="0.25">
      <c r="A304" s="18">
        <v>43424</v>
      </c>
      <c r="C304" s="18">
        <v>46023</v>
      </c>
    </row>
    <row r="305" spans="1:3" x14ac:dyDescent="0.25">
      <c r="A305" s="18">
        <v>43458</v>
      </c>
      <c r="C305" s="18">
        <v>46069</v>
      </c>
    </row>
    <row r="306" spans="1:3" x14ac:dyDescent="0.25">
      <c r="A306" s="18">
        <v>43459</v>
      </c>
      <c r="C306" s="18">
        <v>46070</v>
      </c>
    </row>
    <row r="307" spans="1:3" x14ac:dyDescent="0.25">
      <c r="A307" s="18">
        <v>43465</v>
      </c>
      <c r="C307" s="18">
        <v>46115</v>
      </c>
    </row>
    <row r="308" spans="1:3" x14ac:dyDescent="0.25">
      <c r="A308" s="18">
        <v>43466</v>
      </c>
      <c r="C308" s="18">
        <v>46133</v>
      </c>
    </row>
    <row r="309" spans="1:3" x14ac:dyDescent="0.25">
      <c r="A309" s="18">
        <v>43490</v>
      </c>
      <c r="C309" s="18">
        <v>46143</v>
      </c>
    </row>
    <row r="310" spans="1:3" x14ac:dyDescent="0.25">
      <c r="A310" s="18">
        <v>43528</v>
      </c>
      <c r="C310" s="18">
        <v>46177</v>
      </c>
    </row>
    <row r="311" spans="1:3" x14ac:dyDescent="0.25">
      <c r="A311" s="18">
        <v>43529</v>
      </c>
      <c r="C311" s="18">
        <v>46272</v>
      </c>
    </row>
    <row r="312" spans="1:3" x14ac:dyDescent="0.25">
      <c r="A312" s="18">
        <v>43574</v>
      </c>
      <c r="C312" s="18">
        <v>46307</v>
      </c>
    </row>
    <row r="313" spans="1:3" x14ac:dyDescent="0.25">
      <c r="A313" s="18">
        <v>43576</v>
      </c>
      <c r="C313" s="18">
        <v>46328</v>
      </c>
    </row>
    <row r="314" spans="1:3" x14ac:dyDescent="0.25">
      <c r="A314" s="18">
        <v>43586</v>
      </c>
      <c r="C314" s="18">
        <v>46341</v>
      </c>
    </row>
    <row r="315" spans="1:3" x14ac:dyDescent="0.25">
      <c r="A315" s="18">
        <v>43636</v>
      </c>
      <c r="C315" s="18">
        <v>46346</v>
      </c>
    </row>
    <row r="316" spans="1:3" x14ac:dyDescent="0.25">
      <c r="A316" s="18">
        <v>43655</v>
      </c>
      <c r="C316" s="18">
        <v>46381</v>
      </c>
    </row>
    <row r="317" spans="1:3" x14ac:dyDescent="0.25">
      <c r="A317" s="18">
        <v>43715</v>
      </c>
      <c r="C317" s="18">
        <v>46388</v>
      </c>
    </row>
    <row r="318" spans="1:3" x14ac:dyDescent="0.25">
      <c r="A318" s="18">
        <v>43750</v>
      </c>
      <c r="C318" s="18">
        <v>46426</v>
      </c>
    </row>
    <row r="319" spans="1:3" x14ac:dyDescent="0.25">
      <c r="A319" s="18">
        <v>43771</v>
      </c>
      <c r="C319" s="18">
        <v>46427</v>
      </c>
    </row>
    <row r="320" spans="1:3" x14ac:dyDescent="0.25">
      <c r="A320" s="18">
        <v>43784</v>
      </c>
      <c r="C320" s="18">
        <v>46472</v>
      </c>
    </row>
    <row r="321" spans="1:3" x14ac:dyDescent="0.25">
      <c r="A321" s="18">
        <v>43789</v>
      </c>
      <c r="C321" s="18">
        <v>46498</v>
      </c>
    </row>
    <row r="322" spans="1:3" x14ac:dyDescent="0.25">
      <c r="A322" s="18">
        <v>43823</v>
      </c>
      <c r="C322" s="18">
        <v>46508</v>
      </c>
    </row>
    <row r="323" spans="1:3" x14ac:dyDescent="0.25">
      <c r="A323" s="18">
        <v>43824</v>
      </c>
      <c r="C323" s="18">
        <v>46534</v>
      </c>
    </row>
    <row r="324" spans="1:3" x14ac:dyDescent="0.25">
      <c r="A324" s="18">
        <v>43830</v>
      </c>
      <c r="C324" s="18">
        <v>46637</v>
      </c>
    </row>
    <row r="325" spans="1:3" x14ac:dyDescent="0.25">
      <c r="A325" s="18">
        <v>43831</v>
      </c>
      <c r="C325" s="18">
        <v>46672</v>
      </c>
    </row>
    <row r="326" spans="1:3" x14ac:dyDescent="0.25">
      <c r="A326" s="18">
        <v>43855</v>
      </c>
      <c r="C326" s="18">
        <v>46693</v>
      </c>
    </row>
    <row r="327" spans="1:3" x14ac:dyDescent="0.25">
      <c r="A327" s="18">
        <v>43885</v>
      </c>
      <c r="C327" s="18">
        <v>46706</v>
      </c>
    </row>
    <row r="328" spans="1:3" x14ac:dyDescent="0.25">
      <c r="A328" s="18">
        <v>43886</v>
      </c>
      <c r="C328" s="18">
        <v>46711</v>
      </c>
    </row>
    <row r="329" spans="1:3" x14ac:dyDescent="0.25">
      <c r="A329" s="18">
        <v>43931</v>
      </c>
      <c r="C329" s="18">
        <v>46746</v>
      </c>
    </row>
    <row r="330" spans="1:3" x14ac:dyDescent="0.25">
      <c r="A330" s="18">
        <v>43942</v>
      </c>
      <c r="C330" s="18">
        <v>46753</v>
      </c>
    </row>
    <row r="331" spans="1:3" x14ac:dyDescent="0.25">
      <c r="A331" s="18">
        <v>43952</v>
      </c>
      <c r="C331" s="18">
        <v>46811</v>
      </c>
    </row>
    <row r="332" spans="1:3" x14ac:dyDescent="0.25">
      <c r="A332" s="18">
        <v>43993</v>
      </c>
      <c r="C332" s="18">
        <v>46812</v>
      </c>
    </row>
    <row r="333" spans="1:3" x14ac:dyDescent="0.25">
      <c r="A333" s="18">
        <v>44021</v>
      </c>
      <c r="C333" s="18">
        <v>46857</v>
      </c>
    </row>
    <row r="334" spans="1:3" x14ac:dyDescent="0.25">
      <c r="A334" s="18">
        <v>44081</v>
      </c>
      <c r="C334" s="18">
        <v>46864</v>
      </c>
    </row>
    <row r="335" spans="1:3" x14ac:dyDescent="0.25">
      <c r="A335" s="18">
        <v>44116</v>
      </c>
      <c r="C335" s="18">
        <v>46874</v>
      </c>
    </row>
    <row r="336" spans="1:3" x14ac:dyDescent="0.25">
      <c r="A336" s="18">
        <v>44137</v>
      </c>
      <c r="C336" s="18">
        <v>46919</v>
      </c>
    </row>
    <row r="337" spans="1:3" x14ac:dyDescent="0.25">
      <c r="A337" s="18">
        <v>44150</v>
      </c>
      <c r="C337" s="18">
        <v>47003</v>
      </c>
    </row>
    <row r="338" spans="1:3" x14ac:dyDescent="0.25">
      <c r="A338" s="18">
        <v>44155</v>
      </c>
      <c r="C338" s="18">
        <v>47038</v>
      </c>
    </row>
    <row r="339" spans="1:3" x14ac:dyDescent="0.25">
      <c r="A339" s="18">
        <v>44189</v>
      </c>
      <c r="C339" s="18">
        <v>47059</v>
      </c>
    </row>
    <row r="340" spans="1:3" x14ac:dyDescent="0.25">
      <c r="A340" s="18">
        <v>44190</v>
      </c>
      <c r="C340" s="18">
        <v>47072</v>
      </c>
    </row>
    <row r="341" spans="1:3" x14ac:dyDescent="0.25">
      <c r="A341" s="18">
        <v>44196</v>
      </c>
      <c r="C341" s="18">
        <v>47077</v>
      </c>
    </row>
    <row r="342" spans="1:3" x14ac:dyDescent="0.25">
      <c r="A342" s="18">
        <v>44197</v>
      </c>
      <c r="C342" s="18">
        <v>47112</v>
      </c>
    </row>
    <row r="343" spans="1:3" x14ac:dyDescent="0.25">
      <c r="A343" s="18">
        <v>44221</v>
      </c>
      <c r="C343" s="18">
        <v>47119</v>
      </c>
    </row>
    <row r="344" spans="1:3" x14ac:dyDescent="0.25">
      <c r="A344" s="18">
        <v>44242</v>
      </c>
      <c r="C344" s="18">
        <v>47161</v>
      </c>
    </row>
    <row r="345" spans="1:3" x14ac:dyDescent="0.25">
      <c r="A345" s="18">
        <v>44243</v>
      </c>
      <c r="C345" s="18">
        <v>47162</v>
      </c>
    </row>
    <row r="346" spans="1:3" x14ac:dyDescent="0.25">
      <c r="A346" s="18">
        <v>44288</v>
      </c>
      <c r="C346" s="18">
        <v>47207</v>
      </c>
    </row>
    <row r="347" spans="1:3" x14ac:dyDescent="0.25">
      <c r="A347" s="18">
        <v>44307</v>
      </c>
      <c r="C347" s="18">
        <v>47229</v>
      </c>
    </row>
    <row r="348" spans="1:3" x14ac:dyDescent="0.25">
      <c r="A348" s="18">
        <v>44317</v>
      </c>
      <c r="C348" s="18">
        <v>47239</v>
      </c>
    </row>
    <row r="349" spans="1:3" x14ac:dyDescent="0.25">
      <c r="A349" s="18">
        <v>44350</v>
      </c>
      <c r="C349" s="18">
        <v>47269</v>
      </c>
    </row>
    <row r="350" spans="1:3" x14ac:dyDescent="0.25">
      <c r="A350" s="18">
        <v>44386</v>
      </c>
      <c r="C350" s="18">
        <v>47368</v>
      </c>
    </row>
    <row r="351" spans="1:3" x14ac:dyDescent="0.25">
      <c r="A351" s="18">
        <v>44446</v>
      </c>
      <c r="C351" s="18">
        <v>47403</v>
      </c>
    </row>
    <row r="352" spans="1:3" x14ac:dyDescent="0.25">
      <c r="A352" s="18">
        <v>44481</v>
      </c>
      <c r="C352" s="18">
        <v>47424</v>
      </c>
    </row>
    <row r="353" spans="1:3" x14ac:dyDescent="0.25">
      <c r="A353" s="18">
        <v>44502</v>
      </c>
      <c r="C353" s="18">
        <v>47437</v>
      </c>
    </row>
    <row r="354" spans="1:3" x14ac:dyDescent="0.25">
      <c r="A354" s="18">
        <v>44515</v>
      </c>
      <c r="C354" s="18">
        <v>47442</v>
      </c>
    </row>
    <row r="355" spans="1:3" x14ac:dyDescent="0.25">
      <c r="A355" s="18">
        <v>44520</v>
      </c>
      <c r="C355" s="18">
        <v>47477</v>
      </c>
    </row>
    <row r="356" spans="1:3" x14ac:dyDescent="0.25">
      <c r="A356" s="18">
        <v>44554</v>
      </c>
      <c r="C356" s="18">
        <v>47484</v>
      </c>
    </row>
    <row r="357" spans="1:3" x14ac:dyDescent="0.25">
      <c r="A357" s="18">
        <v>44555</v>
      </c>
      <c r="C357" s="18">
        <v>47546</v>
      </c>
    </row>
    <row r="358" spans="1:3" x14ac:dyDescent="0.25">
      <c r="A358" s="18">
        <v>44561</v>
      </c>
      <c r="C358" s="18">
        <v>47547</v>
      </c>
    </row>
    <row r="359" spans="1:3" x14ac:dyDescent="0.25">
      <c r="A359" s="18">
        <v>44562</v>
      </c>
      <c r="C359" s="18">
        <v>47592</v>
      </c>
    </row>
    <row r="360" spans="1:3" x14ac:dyDescent="0.25">
      <c r="A360" s="18">
        <v>44620</v>
      </c>
      <c r="C360" s="18">
        <v>47594</v>
      </c>
    </row>
    <row r="361" spans="1:3" x14ac:dyDescent="0.25">
      <c r="A361" s="18">
        <v>44621</v>
      </c>
      <c r="C361" s="18">
        <v>47604</v>
      </c>
    </row>
    <row r="362" spans="1:3" x14ac:dyDescent="0.25">
      <c r="A362" s="18">
        <v>44666</v>
      </c>
      <c r="C362" s="18">
        <v>47654</v>
      </c>
    </row>
    <row r="363" spans="1:3" x14ac:dyDescent="0.25">
      <c r="A363" s="18">
        <v>44672</v>
      </c>
      <c r="C363" s="18">
        <v>47733</v>
      </c>
    </row>
    <row r="364" spans="1:3" x14ac:dyDescent="0.25">
      <c r="A364" s="18">
        <v>44682</v>
      </c>
      <c r="C364" s="18">
        <v>47768</v>
      </c>
    </row>
    <row r="365" spans="1:3" x14ac:dyDescent="0.25">
      <c r="A365" s="18">
        <v>44728</v>
      </c>
      <c r="C365" s="18">
        <v>47789</v>
      </c>
    </row>
    <row r="366" spans="1:3" x14ac:dyDescent="0.25">
      <c r="A366" s="18">
        <v>44811</v>
      </c>
      <c r="C366" s="18">
        <v>47802</v>
      </c>
    </row>
    <row r="367" spans="1:3" x14ac:dyDescent="0.25">
      <c r="A367" s="18">
        <v>44846</v>
      </c>
      <c r="C367" s="18">
        <v>47807</v>
      </c>
    </row>
    <row r="368" spans="1:3" x14ac:dyDescent="0.25">
      <c r="A368" s="18">
        <v>44867</v>
      </c>
      <c r="C368" s="18">
        <v>47842</v>
      </c>
    </row>
    <row r="369" spans="1:3" x14ac:dyDescent="0.25">
      <c r="A369" s="18">
        <v>44880</v>
      </c>
      <c r="C369" s="18">
        <v>47849</v>
      </c>
    </row>
    <row r="370" spans="1:3" x14ac:dyDescent="0.25">
      <c r="A370" s="18">
        <v>44919</v>
      </c>
      <c r="C370" s="18">
        <v>47903</v>
      </c>
    </row>
    <row r="371" spans="1:3" x14ac:dyDescent="0.25">
      <c r="A371" s="18">
        <v>44920</v>
      </c>
      <c r="C371" s="18">
        <v>47904</v>
      </c>
    </row>
    <row r="372" spans="1:3" x14ac:dyDescent="0.25">
      <c r="A372" s="18">
        <v>44926</v>
      </c>
      <c r="C372" s="18">
        <v>47949</v>
      </c>
    </row>
    <row r="373" spans="1:3" x14ac:dyDescent="0.25">
      <c r="A373" s="18">
        <v>44927</v>
      </c>
      <c r="C373" s="18">
        <v>47959</v>
      </c>
    </row>
    <row r="374" spans="1:3" x14ac:dyDescent="0.25">
      <c r="A374" s="18">
        <v>44977</v>
      </c>
      <c r="C374" s="18">
        <v>47969</v>
      </c>
    </row>
    <row r="375" spans="1:3" x14ac:dyDescent="0.25">
      <c r="A375" s="18">
        <v>44978</v>
      </c>
      <c r="C375" s="18">
        <v>48011</v>
      </c>
    </row>
    <row r="376" spans="1:3" x14ac:dyDescent="0.25">
      <c r="A376" s="18">
        <v>45023</v>
      </c>
      <c r="C376" s="18">
        <v>48098</v>
      </c>
    </row>
    <row r="377" spans="1:3" x14ac:dyDescent="0.25">
      <c r="A377" s="18">
        <v>45037</v>
      </c>
      <c r="C377" s="18">
        <v>48133</v>
      </c>
    </row>
    <row r="378" spans="1:3" x14ac:dyDescent="0.25">
      <c r="A378" s="18">
        <v>45047</v>
      </c>
      <c r="C378" s="18">
        <v>48154</v>
      </c>
    </row>
    <row r="379" spans="1:3" x14ac:dyDescent="0.25">
      <c r="A379" s="18">
        <v>45085</v>
      </c>
      <c r="C379" s="18">
        <v>48167</v>
      </c>
    </row>
    <row r="380" spans="1:3" x14ac:dyDescent="0.25">
      <c r="A380" s="18">
        <v>45176</v>
      </c>
      <c r="C380" s="18">
        <v>48172</v>
      </c>
    </row>
    <row r="381" spans="1:3" x14ac:dyDescent="0.25">
      <c r="A381" s="18">
        <v>45211</v>
      </c>
      <c r="C381" s="18">
        <v>48207</v>
      </c>
    </row>
    <row r="382" spans="1:3" x14ac:dyDescent="0.25">
      <c r="A382" s="18">
        <v>45232</v>
      </c>
      <c r="C382" s="18">
        <v>48214</v>
      </c>
    </row>
    <row r="383" spans="1:3" x14ac:dyDescent="0.25">
      <c r="A383" s="18">
        <v>45245</v>
      </c>
      <c r="C383" s="18">
        <v>48253</v>
      </c>
    </row>
    <row r="384" spans="1:3" x14ac:dyDescent="0.25">
      <c r="A384" s="18">
        <v>45284</v>
      </c>
      <c r="C384" s="18">
        <v>48254</v>
      </c>
    </row>
    <row r="385" spans="1:3" x14ac:dyDescent="0.25">
      <c r="A385" s="18">
        <v>45285</v>
      </c>
      <c r="C385" s="18">
        <v>48299</v>
      </c>
    </row>
    <row r="386" spans="1:3" x14ac:dyDescent="0.25">
      <c r="A386" s="18">
        <v>45291</v>
      </c>
      <c r="C386" s="18">
        <v>48325</v>
      </c>
    </row>
    <row r="387" spans="1:3" x14ac:dyDescent="0.25">
      <c r="A387" s="18">
        <v>45292</v>
      </c>
      <c r="C387" s="18">
        <v>48335</v>
      </c>
    </row>
    <row r="388" spans="1:3" x14ac:dyDescent="0.25">
      <c r="A388" s="18">
        <v>45334</v>
      </c>
      <c r="C388" s="18">
        <v>48361</v>
      </c>
    </row>
    <row r="389" spans="1:3" x14ac:dyDescent="0.25">
      <c r="A389" s="18">
        <v>45335</v>
      </c>
      <c r="C389" s="18">
        <v>48464</v>
      </c>
    </row>
    <row r="390" spans="1:3" x14ac:dyDescent="0.25">
      <c r="A390" s="18">
        <v>45380</v>
      </c>
      <c r="C390" s="18">
        <v>48499</v>
      </c>
    </row>
    <row r="391" spans="1:3" x14ac:dyDescent="0.25">
      <c r="A391" s="18">
        <v>45403</v>
      </c>
      <c r="C391" s="18">
        <v>48520</v>
      </c>
    </row>
    <row r="392" spans="1:3" x14ac:dyDescent="0.25">
      <c r="A392" s="18">
        <v>45413</v>
      </c>
      <c r="C392" s="18">
        <v>48533</v>
      </c>
    </row>
    <row r="393" spans="1:3" x14ac:dyDescent="0.25">
      <c r="A393" s="18">
        <v>45442</v>
      </c>
      <c r="C393" s="18">
        <v>48538</v>
      </c>
    </row>
    <row r="394" spans="1:3" x14ac:dyDescent="0.25">
      <c r="A394" s="18">
        <v>45542</v>
      </c>
      <c r="C394" s="18">
        <v>48573</v>
      </c>
    </row>
    <row r="395" spans="1:3" x14ac:dyDescent="0.25">
      <c r="A395" s="18">
        <v>45577</v>
      </c>
      <c r="C395" s="18">
        <v>48580</v>
      </c>
    </row>
    <row r="396" spans="1:3" x14ac:dyDescent="0.25">
      <c r="A396" s="18">
        <v>45598</v>
      </c>
      <c r="C396" s="18">
        <v>48638</v>
      </c>
    </row>
    <row r="397" spans="1:3" x14ac:dyDescent="0.25">
      <c r="A397" s="18">
        <v>45611</v>
      </c>
      <c r="C397" s="18">
        <v>48639</v>
      </c>
    </row>
    <row r="398" spans="1:3" x14ac:dyDescent="0.25">
      <c r="A398" s="18">
        <v>45616</v>
      </c>
      <c r="C398" s="18">
        <v>48684</v>
      </c>
    </row>
    <row r="399" spans="1:3" x14ac:dyDescent="0.25">
      <c r="A399" s="18">
        <v>45650</v>
      </c>
      <c r="C399" s="18">
        <v>48690</v>
      </c>
    </row>
    <row r="400" spans="1:3" x14ac:dyDescent="0.25">
      <c r="A400" s="18">
        <v>45651</v>
      </c>
      <c r="C400" s="18">
        <v>48700</v>
      </c>
    </row>
    <row r="401" spans="1:3" x14ac:dyDescent="0.25">
      <c r="A401" s="18">
        <v>45657</v>
      </c>
      <c r="C401" s="18">
        <v>48746</v>
      </c>
    </row>
    <row r="402" spans="1:3" x14ac:dyDescent="0.25">
      <c r="A402" s="18">
        <v>45658</v>
      </c>
      <c r="C402" s="18">
        <v>48829</v>
      </c>
    </row>
    <row r="403" spans="1:3" x14ac:dyDescent="0.25">
      <c r="A403" s="18">
        <v>45719</v>
      </c>
      <c r="C403" s="18">
        <v>48864</v>
      </c>
    </row>
    <row r="404" spans="1:3" x14ac:dyDescent="0.25">
      <c r="A404" s="18">
        <v>45720</v>
      </c>
      <c r="C404" s="18">
        <v>48885</v>
      </c>
    </row>
    <row r="405" spans="1:3" x14ac:dyDescent="0.25">
      <c r="A405" s="18">
        <v>45765</v>
      </c>
      <c r="C405" s="18">
        <v>48898</v>
      </c>
    </row>
    <row r="406" spans="1:3" x14ac:dyDescent="0.25">
      <c r="A406" s="18">
        <v>45768</v>
      </c>
      <c r="C406" s="18">
        <v>48903</v>
      </c>
    </row>
    <row r="407" spans="1:3" x14ac:dyDescent="0.25">
      <c r="A407" s="18">
        <v>45778</v>
      </c>
      <c r="C407" s="18">
        <v>48938</v>
      </c>
    </row>
    <row r="408" spans="1:3" x14ac:dyDescent="0.25">
      <c r="A408" s="18">
        <v>45827</v>
      </c>
      <c r="C408" s="18">
        <v>48945</v>
      </c>
    </row>
    <row r="409" spans="1:3" x14ac:dyDescent="0.25">
      <c r="A409" s="18">
        <v>45907</v>
      </c>
      <c r="C409" s="18">
        <v>48995</v>
      </c>
    </row>
    <row r="410" spans="1:3" x14ac:dyDescent="0.25">
      <c r="A410" s="18">
        <v>45942</v>
      </c>
      <c r="C410" s="18">
        <v>48996</v>
      </c>
    </row>
    <row r="411" spans="1:3" x14ac:dyDescent="0.25">
      <c r="A411" s="18">
        <v>45963</v>
      </c>
      <c r="C411" s="18">
        <v>49041</v>
      </c>
    </row>
    <row r="412" spans="1:3" x14ac:dyDescent="0.25">
      <c r="A412" s="18">
        <v>45976</v>
      </c>
      <c r="C412" s="18">
        <v>49055</v>
      </c>
    </row>
    <row r="413" spans="1:3" x14ac:dyDescent="0.25">
      <c r="A413" s="18">
        <v>45981</v>
      </c>
      <c r="C413" s="18">
        <v>49065</v>
      </c>
    </row>
    <row r="414" spans="1:3" x14ac:dyDescent="0.25">
      <c r="A414" s="18">
        <v>46015</v>
      </c>
      <c r="C414" s="18">
        <v>49103</v>
      </c>
    </row>
    <row r="415" spans="1:3" x14ac:dyDescent="0.25">
      <c r="A415" s="18">
        <v>46016</v>
      </c>
      <c r="C415" s="18">
        <v>49194</v>
      </c>
    </row>
    <row r="416" spans="1:3" x14ac:dyDescent="0.25">
      <c r="A416" s="18">
        <v>46022</v>
      </c>
      <c r="C416" s="18">
        <v>49229</v>
      </c>
    </row>
    <row r="417" spans="1:3" x14ac:dyDescent="0.25">
      <c r="A417" s="18">
        <v>46023</v>
      </c>
      <c r="C417" s="18">
        <v>49250</v>
      </c>
    </row>
    <row r="418" spans="1:3" x14ac:dyDescent="0.25">
      <c r="A418" s="18">
        <v>46069</v>
      </c>
      <c r="C418" s="18">
        <v>49263</v>
      </c>
    </row>
    <row r="419" spans="1:3" x14ac:dyDescent="0.25">
      <c r="A419" s="18">
        <v>46070</v>
      </c>
      <c r="C419" s="18">
        <v>49268</v>
      </c>
    </row>
    <row r="420" spans="1:3" x14ac:dyDescent="0.25">
      <c r="A420" s="18">
        <v>46115</v>
      </c>
      <c r="C420" s="18">
        <v>49303</v>
      </c>
    </row>
    <row r="421" spans="1:3" x14ac:dyDescent="0.25">
      <c r="A421" s="18">
        <v>46133</v>
      </c>
      <c r="C421" s="18">
        <v>49310</v>
      </c>
    </row>
    <row r="422" spans="1:3" x14ac:dyDescent="0.25">
      <c r="A422" s="18">
        <v>46143</v>
      </c>
      <c r="C422" s="18">
        <v>49345</v>
      </c>
    </row>
    <row r="423" spans="1:3" x14ac:dyDescent="0.25">
      <c r="A423" s="18">
        <v>46177</v>
      </c>
      <c r="C423" s="18">
        <v>49346</v>
      </c>
    </row>
    <row r="424" spans="1:3" x14ac:dyDescent="0.25">
      <c r="A424" s="18">
        <v>46272</v>
      </c>
      <c r="C424" s="18">
        <v>49391</v>
      </c>
    </row>
    <row r="425" spans="1:3" x14ac:dyDescent="0.25">
      <c r="A425" s="18">
        <v>46307</v>
      </c>
      <c r="C425" s="18">
        <v>49420</v>
      </c>
    </row>
    <row r="426" spans="1:3" x14ac:dyDescent="0.25">
      <c r="A426" s="18">
        <v>46328</v>
      </c>
      <c r="C426" s="18">
        <v>49430</v>
      </c>
    </row>
    <row r="427" spans="1:3" x14ac:dyDescent="0.25">
      <c r="A427" s="18">
        <v>46341</v>
      </c>
      <c r="C427" s="18">
        <v>49453</v>
      </c>
    </row>
    <row r="428" spans="1:3" x14ac:dyDescent="0.25">
      <c r="A428" s="18">
        <v>46346</v>
      </c>
      <c r="C428" s="18">
        <v>49559</v>
      </c>
    </row>
    <row r="429" spans="1:3" x14ac:dyDescent="0.25">
      <c r="A429" s="18">
        <v>46380</v>
      </c>
      <c r="C429" s="18">
        <v>49594</v>
      </c>
    </row>
    <row r="430" spans="1:3" x14ac:dyDescent="0.25">
      <c r="A430" s="18">
        <v>46381</v>
      </c>
      <c r="C430" s="18">
        <v>49615</v>
      </c>
    </row>
    <row r="431" spans="1:3" x14ac:dyDescent="0.25">
      <c r="A431" s="18">
        <v>46387</v>
      </c>
      <c r="C431" s="18">
        <v>49628</v>
      </c>
    </row>
    <row r="432" spans="1:3" x14ac:dyDescent="0.25">
      <c r="A432" s="18">
        <v>46388</v>
      </c>
      <c r="C432" s="18">
        <v>49633</v>
      </c>
    </row>
    <row r="433" spans="1:3" x14ac:dyDescent="0.25">
      <c r="A433" s="18">
        <v>46426</v>
      </c>
      <c r="C433" s="18">
        <v>49668</v>
      </c>
    </row>
    <row r="434" spans="1:3" x14ac:dyDescent="0.25">
      <c r="A434" s="18">
        <v>46427</v>
      </c>
      <c r="C434" s="18">
        <v>49675</v>
      </c>
    </row>
    <row r="435" spans="1:3" x14ac:dyDescent="0.25">
      <c r="A435" s="18">
        <v>46472</v>
      </c>
      <c r="C435" s="18">
        <v>49730</v>
      </c>
    </row>
    <row r="436" spans="1:3" x14ac:dyDescent="0.25">
      <c r="A436" s="18">
        <v>46498</v>
      </c>
      <c r="C436" s="18">
        <v>49731</v>
      </c>
    </row>
    <row r="437" spans="1:3" x14ac:dyDescent="0.25">
      <c r="A437" s="18">
        <v>46508</v>
      </c>
      <c r="C437" s="18">
        <v>49776</v>
      </c>
    </row>
    <row r="438" spans="1:3" x14ac:dyDescent="0.25">
      <c r="A438" s="18">
        <v>46534</v>
      </c>
      <c r="C438" s="18">
        <v>49786</v>
      </c>
    </row>
    <row r="439" spans="1:3" x14ac:dyDescent="0.25">
      <c r="A439" s="18">
        <v>46637</v>
      </c>
      <c r="C439" s="18">
        <v>49796</v>
      </c>
    </row>
    <row r="440" spans="1:3" x14ac:dyDescent="0.25">
      <c r="A440" s="18">
        <v>46672</v>
      </c>
      <c r="C440" s="18">
        <v>49838</v>
      </c>
    </row>
    <row r="441" spans="1:3" x14ac:dyDescent="0.25">
      <c r="A441" s="18">
        <v>46693</v>
      </c>
      <c r="C441" s="18">
        <v>49925</v>
      </c>
    </row>
    <row r="442" spans="1:3" x14ac:dyDescent="0.25">
      <c r="A442" s="18">
        <v>46706</v>
      </c>
      <c r="C442" s="18">
        <v>49960</v>
      </c>
    </row>
    <row r="443" spans="1:3" x14ac:dyDescent="0.25">
      <c r="A443" s="18">
        <v>46711</v>
      </c>
      <c r="C443" s="18">
        <v>49981</v>
      </c>
    </row>
    <row r="444" spans="1:3" x14ac:dyDescent="0.25">
      <c r="A444" s="18">
        <v>46745</v>
      </c>
      <c r="C444" s="18">
        <v>49994</v>
      </c>
    </row>
    <row r="445" spans="1:3" x14ac:dyDescent="0.25">
      <c r="A445" s="18">
        <v>46746</v>
      </c>
      <c r="C445" s="18">
        <v>49999</v>
      </c>
    </row>
    <row r="446" spans="1:3" x14ac:dyDescent="0.25">
      <c r="A446" s="18">
        <v>46752</v>
      </c>
      <c r="C446" s="18">
        <v>50034</v>
      </c>
    </row>
    <row r="447" spans="1:3" x14ac:dyDescent="0.25">
      <c r="A447" s="18">
        <v>46753</v>
      </c>
      <c r="C447" s="18">
        <v>50041</v>
      </c>
    </row>
    <row r="448" spans="1:3" x14ac:dyDescent="0.25">
      <c r="A448" s="18">
        <v>46811</v>
      </c>
      <c r="C448" s="18">
        <v>50087</v>
      </c>
    </row>
    <row r="449" spans="1:3" x14ac:dyDescent="0.25">
      <c r="A449" s="18">
        <v>46812</v>
      </c>
      <c r="C449" s="18">
        <v>50088</v>
      </c>
    </row>
    <row r="450" spans="1:3" x14ac:dyDescent="0.25">
      <c r="A450" s="18">
        <v>46857</v>
      </c>
      <c r="C450" s="18">
        <v>50133</v>
      </c>
    </row>
    <row r="451" spans="1:3" x14ac:dyDescent="0.25">
      <c r="A451" s="18">
        <v>46864</v>
      </c>
      <c r="C451" s="18">
        <v>50151</v>
      </c>
    </row>
    <row r="452" spans="1:3" x14ac:dyDescent="0.25">
      <c r="A452" s="18">
        <v>46874</v>
      </c>
      <c r="C452" s="18">
        <v>50161</v>
      </c>
    </row>
    <row r="453" spans="1:3" x14ac:dyDescent="0.25">
      <c r="A453" s="18">
        <v>46919</v>
      </c>
      <c r="C453" s="18">
        <v>50195</v>
      </c>
    </row>
    <row r="454" spans="1:3" x14ac:dyDescent="0.25">
      <c r="A454" s="18">
        <v>47003</v>
      </c>
      <c r="C454" s="18">
        <v>50290</v>
      </c>
    </row>
    <row r="455" spans="1:3" x14ac:dyDescent="0.25">
      <c r="A455" s="18">
        <v>47038</v>
      </c>
      <c r="C455" s="18">
        <v>50325</v>
      </c>
    </row>
    <row r="456" spans="1:3" x14ac:dyDescent="0.25">
      <c r="A456" s="18">
        <v>47059</v>
      </c>
      <c r="C456" s="18">
        <v>50346</v>
      </c>
    </row>
    <row r="457" spans="1:3" x14ac:dyDescent="0.25">
      <c r="A457" s="18">
        <v>47072</v>
      </c>
      <c r="C457" s="18">
        <v>50359</v>
      </c>
    </row>
    <row r="458" spans="1:3" x14ac:dyDescent="0.25">
      <c r="A458" s="18">
        <v>47077</v>
      </c>
      <c r="C458" s="18">
        <v>50364</v>
      </c>
    </row>
    <row r="459" spans="1:3" x14ac:dyDescent="0.25">
      <c r="A459" s="18">
        <v>47111</v>
      </c>
      <c r="C459" s="18">
        <v>50399</v>
      </c>
    </row>
    <row r="460" spans="1:3" x14ac:dyDescent="0.25">
      <c r="A460" s="18">
        <v>47112</v>
      </c>
      <c r="C460" s="18">
        <v>50406</v>
      </c>
    </row>
    <row r="461" spans="1:3" x14ac:dyDescent="0.25">
      <c r="A461" s="18">
        <v>47118</v>
      </c>
      <c r="C461" s="18">
        <v>50472</v>
      </c>
    </row>
    <row r="462" spans="1:3" x14ac:dyDescent="0.25">
      <c r="A462" s="18">
        <v>47119</v>
      </c>
      <c r="C462" s="18">
        <v>50473</v>
      </c>
    </row>
    <row r="463" spans="1:3" x14ac:dyDescent="0.25">
      <c r="A463" s="18">
        <v>47161</v>
      </c>
      <c r="C463" s="18">
        <v>50516</v>
      </c>
    </row>
    <row r="464" spans="1:3" x14ac:dyDescent="0.25">
      <c r="A464" s="18">
        <v>47162</v>
      </c>
      <c r="C464" s="18">
        <v>50518</v>
      </c>
    </row>
    <row r="465" spans="1:3" x14ac:dyDescent="0.25">
      <c r="A465" s="18">
        <v>47207</v>
      </c>
      <c r="C465" s="18">
        <v>50526</v>
      </c>
    </row>
    <row r="466" spans="1:3" x14ac:dyDescent="0.25">
      <c r="A466" s="18">
        <v>47229</v>
      </c>
      <c r="C466" s="18">
        <v>50580</v>
      </c>
    </row>
    <row r="467" spans="1:3" x14ac:dyDescent="0.25">
      <c r="A467" s="18">
        <v>47239</v>
      </c>
      <c r="C467" s="18">
        <v>50655</v>
      </c>
    </row>
    <row r="468" spans="1:3" x14ac:dyDescent="0.25">
      <c r="A468" s="18">
        <v>47269</v>
      </c>
      <c r="C468" s="18">
        <v>50690</v>
      </c>
    </row>
    <row r="469" spans="1:3" x14ac:dyDescent="0.25">
      <c r="A469" s="18">
        <v>47368</v>
      </c>
      <c r="C469" s="18">
        <v>50711</v>
      </c>
    </row>
    <row r="470" spans="1:3" x14ac:dyDescent="0.25">
      <c r="A470" s="18">
        <v>47403</v>
      </c>
      <c r="C470" s="18">
        <v>50724</v>
      </c>
    </row>
    <row r="471" spans="1:3" x14ac:dyDescent="0.25">
      <c r="A471" s="18">
        <v>47424</v>
      </c>
      <c r="C471" s="18">
        <v>50729</v>
      </c>
    </row>
    <row r="472" spans="1:3" x14ac:dyDescent="0.25">
      <c r="A472" s="18">
        <v>47437</v>
      </c>
      <c r="C472" s="18">
        <v>50764</v>
      </c>
    </row>
    <row r="473" spans="1:3" x14ac:dyDescent="0.25">
      <c r="A473" s="18">
        <v>47442</v>
      </c>
      <c r="C473" s="18">
        <v>50771</v>
      </c>
    </row>
    <row r="474" spans="1:3" x14ac:dyDescent="0.25">
      <c r="A474" s="18">
        <v>47476</v>
      </c>
      <c r="C474" s="18">
        <v>50822</v>
      </c>
    </row>
    <row r="475" spans="1:3" x14ac:dyDescent="0.25">
      <c r="A475" s="18">
        <v>47477</v>
      </c>
      <c r="C475" s="18">
        <v>50823</v>
      </c>
    </row>
    <row r="476" spans="1:3" x14ac:dyDescent="0.25">
      <c r="A476" s="18">
        <v>47483</v>
      </c>
      <c r="C476" s="18">
        <v>50868</v>
      </c>
    </row>
    <row r="477" spans="1:3" x14ac:dyDescent="0.25">
      <c r="A477" s="18">
        <v>47484</v>
      </c>
      <c r="C477" s="18">
        <v>50881</v>
      </c>
    </row>
    <row r="478" spans="1:3" x14ac:dyDescent="0.25">
      <c r="A478" s="18">
        <v>47546</v>
      </c>
      <c r="C478" s="18">
        <v>50891</v>
      </c>
    </row>
    <row r="479" spans="1:3" x14ac:dyDescent="0.25">
      <c r="A479" s="18">
        <v>47547</v>
      </c>
      <c r="C479" s="18">
        <v>50930</v>
      </c>
    </row>
    <row r="480" spans="1:3" x14ac:dyDescent="0.25">
      <c r="A480" s="18">
        <v>47592</v>
      </c>
      <c r="C480" s="18">
        <v>51020</v>
      </c>
    </row>
    <row r="481" spans="1:3" x14ac:dyDescent="0.25">
      <c r="A481" s="18">
        <v>47594</v>
      </c>
      <c r="C481" s="18">
        <v>51055</v>
      </c>
    </row>
    <row r="482" spans="1:3" x14ac:dyDescent="0.25">
      <c r="A482" s="18">
        <v>47604</v>
      </c>
      <c r="C482" s="18">
        <v>51076</v>
      </c>
    </row>
    <row r="483" spans="1:3" x14ac:dyDescent="0.25">
      <c r="A483" s="18">
        <v>47654</v>
      </c>
      <c r="C483" s="18">
        <v>51089</v>
      </c>
    </row>
    <row r="484" spans="1:3" x14ac:dyDescent="0.25">
      <c r="A484" s="18">
        <v>47733</v>
      </c>
      <c r="C484" s="18">
        <v>51094</v>
      </c>
    </row>
    <row r="485" spans="1:3" x14ac:dyDescent="0.25">
      <c r="A485" s="18">
        <v>47768</v>
      </c>
      <c r="C485" s="18">
        <v>51129</v>
      </c>
    </row>
    <row r="486" spans="1:3" x14ac:dyDescent="0.25">
      <c r="A486" s="18">
        <v>47789</v>
      </c>
      <c r="C486" s="18">
        <v>51136</v>
      </c>
    </row>
    <row r="487" spans="1:3" x14ac:dyDescent="0.25">
      <c r="A487" s="18">
        <v>47802</v>
      </c>
      <c r="C487" s="18">
        <v>51179</v>
      </c>
    </row>
    <row r="488" spans="1:3" x14ac:dyDescent="0.25">
      <c r="A488" s="18">
        <v>47807</v>
      </c>
      <c r="C488" s="18">
        <v>51180</v>
      </c>
    </row>
    <row r="489" spans="1:3" x14ac:dyDescent="0.25">
      <c r="A489" s="18">
        <v>47841</v>
      </c>
      <c r="C489" s="18">
        <v>51225</v>
      </c>
    </row>
    <row r="490" spans="1:3" x14ac:dyDescent="0.25">
      <c r="A490" s="18">
        <v>47842</v>
      </c>
      <c r="C490" s="18">
        <v>51247</v>
      </c>
    </row>
    <row r="491" spans="1:3" x14ac:dyDescent="0.25">
      <c r="A491" s="18">
        <v>47848</v>
      </c>
      <c r="C491" s="18">
        <v>51257</v>
      </c>
    </row>
    <row r="492" spans="1:3" x14ac:dyDescent="0.25">
      <c r="A492" s="18">
        <v>47849</v>
      </c>
      <c r="C492" s="18">
        <v>51287</v>
      </c>
    </row>
    <row r="493" spans="1:3" x14ac:dyDescent="0.25">
      <c r="A493" s="18">
        <v>47903</v>
      </c>
      <c r="C493" s="18">
        <v>51386</v>
      </c>
    </row>
    <row r="494" spans="1:3" x14ac:dyDescent="0.25">
      <c r="A494" s="18">
        <v>47904</v>
      </c>
      <c r="C494" s="18">
        <v>51421</v>
      </c>
    </row>
    <row r="495" spans="1:3" x14ac:dyDescent="0.25">
      <c r="A495" s="18">
        <v>47949</v>
      </c>
      <c r="C495" s="18">
        <v>51442</v>
      </c>
    </row>
    <row r="496" spans="1:3" x14ac:dyDescent="0.25">
      <c r="A496" s="18">
        <v>47959</v>
      </c>
      <c r="C496" s="18">
        <v>51455</v>
      </c>
    </row>
    <row r="497" spans="1:3" x14ac:dyDescent="0.25">
      <c r="A497" s="18">
        <v>47969</v>
      </c>
      <c r="C497" s="18">
        <v>51460</v>
      </c>
    </row>
    <row r="498" spans="1:3" x14ac:dyDescent="0.25">
      <c r="A498" s="18">
        <v>48011</v>
      </c>
      <c r="C498" s="18">
        <v>51495</v>
      </c>
    </row>
    <row r="499" spans="1:3" x14ac:dyDescent="0.25">
      <c r="A499" s="18">
        <v>48098</v>
      </c>
      <c r="C499" s="18">
        <v>51502</v>
      </c>
    </row>
    <row r="500" spans="1:3" x14ac:dyDescent="0.25">
      <c r="A500" s="18">
        <v>48133</v>
      </c>
      <c r="C500" s="18">
        <v>51564</v>
      </c>
    </row>
    <row r="501" spans="1:3" x14ac:dyDescent="0.25">
      <c r="A501" s="18">
        <v>48154</v>
      </c>
      <c r="C501" s="18">
        <v>51565</v>
      </c>
    </row>
    <row r="502" spans="1:3" x14ac:dyDescent="0.25">
      <c r="A502" s="18">
        <v>48167</v>
      </c>
      <c r="C502" s="18">
        <v>51610</v>
      </c>
    </row>
    <row r="503" spans="1:3" x14ac:dyDescent="0.25">
      <c r="A503" s="18">
        <v>48172</v>
      </c>
      <c r="C503" s="18">
        <v>51612</v>
      </c>
    </row>
    <row r="504" spans="1:3" x14ac:dyDescent="0.25">
      <c r="A504" s="18">
        <v>48206</v>
      </c>
      <c r="C504" s="18">
        <v>51622</v>
      </c>
    </row>
    <row r="505" spans="1:3" x14ac:dyDescent="0.25">
      <c r="A505" s="18">
        <v>48207</v>
      </c>
      <c r="C505" s="18">
        <v>51672</v>
      </c>
    </row>
    <row r="506" spans="1:3" x14ac:dyDescent="0.25">
      <c r="A506" s="18">
        <v>48213</v>
      </c>
      <c r="C506" s="18">
        <v>51751</v>
      </c>
    </row>
    <row r="507" spans="1:3" x14ac:dyDescent="0.25">
      <c r="A507" s="18">
        <v>48214</v>
      </c>
      <c r="C507" s="18">
        <v>51786</v>
      </c>
    </row>
    <row r="508" spans="1:3" x14ac:dyDescent="0.25">
      <c r="A508" s="18">
        <v>48253</v>
      </c>
      <c r="C508" s="18">
        <v>51807</v>
      </c>
    </row>
    <row r="509" spans="1:3" x14ac:dyDescent="0.25">
      <c r="A509" s="18">
        <v>48254</v>
      </c>
      <c r="C509" s="18">
        <v>51820</v>
      </c>
    </row>
    <row r="510" spans="1:3" x14ac:dyDescent="0.25">
      <c r="A510" s="18">
        <v>48299</v>
      </c>
      <c r="C510" s="18">
        <v>51825</v>
      </c>
    </row>
    <row r="511" spans="1:3" x14ac:dyDescent="0.25">
      <c r="A511" s="18">
        <v>48325</v>
      </c>
      <c r="C511" s="18">
        <v>51860</v>
      </c>
    </row>
    <row r="512" spans="1:3" x14ac:dyDescent="0.25">
      <c r="A512" s="18">
        <v>48335</v>
      </c>
      <c r="C512" s="18">
        <v>51867</v>
      </c>
    </row>
    <row r="513" spans="1:3" x14ac:dyDescent="0.25">
      <c r="A513" s="18">
        <v>48361</v>
      </c>
      <c r="C513" s="18">
        <v>51914</v>
      </c>
    </row>
    <row r="514" spans="1:3" x14ac:dyDescent="0.25">
      <c r="A514" s="18">
        <v>48464</v>
      </c>
      <c r="C514" s="18">
        <v>51915</v>
      </c>
    </row>
    <row r="515" spans="1:3" x14ac:dyDescent="0.25">
      <c r="A515" s="18">
        <v>48499</v>
      </c>
      <c r="C515" s="18">
        <v>51960</v>
      </c>
    </row>
    <row r="516" spans="1:3" x14ac:dyDescent="0.25">
      <c r="A516" s="18">
        <v>48520</v>
      </c>
      <c r="C516" s="18">
        <v>51977</v>
      </c>
    </row>
    <row r="517" spans="1:3" x14ac:dyDescent="0.25">
      <c r="A517" s="18">
        <v>48533</v>
      </c>
      <c r="C517" s="18">
        <v>51987</v>
      </c>
    </row>
    <row r="518" spans="1:3" x14ac:dyDescent="0.25">
      <c r="A518" s="18">
        <v>48538</v>
      </c>
      <c r="C518" s="18">
        <v>52022</v>
      </c>
    </row>
    <row r="519" spans="1:3" x14ac:dyDescent="0.25">
      <c r="A519" s="18">
        <v>48572</v>
      </c>
      <c r="C519" s="18">
        <v>52116</v>
      </c>
    </row>
    <row r="520" spans="1:3" x14ac:dyDescent="0.25">
      <c r="A520" s="18">
        <v>48573</v>
      </c>
      <c r="C520" s="18">
        <v>52151</v>
      </c>
    </row>
    <row r="521" spans="1:3" x14ac:dyDescent="0.25">
      <c r="A521" s="18">
        <v>48579</v>
      </c>
      <c r="C521" s="18">
        <v>52172</v>
      </c>
    </row>
    <row r="522" spans="1:3" x14ac:dyDescent="0.25">
      <c r="A522" s="18">
        <v>48580</v>
      </c>
      <c r="C522" s="18">
        <v>52185</v>
      </c>
    </row>
    <row r="523" spans="1:3" x14ac:dyDescent="0.25">
      <c r="A523" s="18">
        <v>48638</v>
      </c>
      <c r="C523" s="18">
        <v>52190</v>
      </c>
    </row>
    <row r="524" spans="1:3" x14ac:dyDescent="0.25">
      <c r="A524" s="18">
        <v>48639</v>
      </c>
      <c r="C524" s="18">
        <v>52225</v>
      </c>
    </row>
    <row r="525" spans="1:3" x14ac:dyDescent="0.25">
      <c r="A525" s="18">
        <v>48684</v>
      </c>
      <c r="C525" s="18">
        <v>52232</v>
      </c>
    </row>
    <row r="526" spans="1:3" x14ac:dyDescent="0.25">
      <c r="A526" s="18">
        <v>48690</v>
      </c>
      <c r="C526" s="18">
        <v>52271</v>
      </c>
    </row>
    <row r="527" spans="1:3" x14ac:dyDescent="0.25">
      <c r="A527" s="18">
        <v>48700</v>
      </c>
      <c r="C527" s="18">
        <v>52272</v>
      </c>
    </row>
    <row r="528" spans="1:3" x14ac:dyDescent="0.25">
      <c r="A528" s="18">
        <v>48746</v>
      </c>
      <c r="C528" s="18">
        <v>52317</v>
      </c>
    </row>
    <row r="529" spans="1:3" x14ac:dyDescent="0.25">
      <c r="A529" s="18">
        <v>48829</v>
      </c>
      <c r="C529" s="18">
        <v>52342</v>
      </c>
    </row>
    <row r="530" spans="1:3" x14ac:dyDescent="0.25">
      <c r="A530" s="18">
        <v>48864</v>
      </c>
      <c r="C530" s="18">
        <v>52352</v>
      </c>
    </row>
    <row r="531" spans="1:3" x14ac:dyDescent="0.25">
      <c r="A531" s="18">
        <v>48885</v>
      </c>
      <c r="C531" s="18">
        <v>52379</v>
      </c>
    </row>
    <row r="532" spans="1:3" x14ac:dyDescent="0.25">
      <c r="A532" s="18">
        <v>48898</v>
      </c>
      <c r="C532" s="18">
        <v>52481</v>
      </c>
    </row>
    <row r="533" spans="1:3" x14ac:dyDescent="0.25">
      <c r="A533" s="18">
        <v>48903</v>
      </c>
      <c r="C533" s="18">
        <v>52516</v>
      </c>
    </row>
    <row r="534" spans="1:3" x14ac:dyDescent="0.25">
      <c r="A534" s="18">
        <v>48937</v>
      </c>
      <c r="C534" s="18">
        <v>52537</v>
      </c>
    </row>
    <row r="535" spans="1:3" x14ac:dyDescent="0.25">
      <c r="A535" s="18">
        <v>48938</v>
      </c>
      <c r="C535" s="18">
        <v>52550</v>
      </c>
    </row>
    <row r="536" spans="1:3" x14ac:dyDescent="0.25">
      <c r="A536" s="18">
        <v>48944</v>
      </c>
      <c r="C536" s="18">
        <v>52555</v>
      </c>
    </row>
    <row r="537" spans="1:3" x14ac:dyDescent="0.25">
      <c r="A537" s="18">
        <v>48945</v>
      </c>
      <c r="C537" s="18">
        <v>52590</v>
      </c>
    </row>
    <row r="538" spans="1:3" x14ac:dyDescent="0.25">
      <c r="A538" s="18">
        <v>48995</v>
      </c>
      <c r="C538" s="18">
        <v>52597</v>
      </c>
    </row>
    <row r="539" spans="1:3" x14ac:dyDescent="0.25">
      <c r="A539" s="18">
        <v>48996</v>
      </c>
      <c r="C539" s="18">
        <v>52656</v>
      </c>
    </row>
    <row r="540" spans="1:3" x14ac:dyDescent="0.25">
      <c r="A540" s="18">
        <v>49041</v>
      </c>
      <c r="C540" s="18">
        <v>52657</v>
      </c>
    </row>
    <row r="541" spans="1:3" x14ac:dyDescent="0.25">
      <c r="A541" s="18">
        <v>49055</v>
      </c>
      <c r="C541" s="18">
        <v>52702</v>
      </c>
    </row>
    <row r="542" spans="1:3" x14ac:dyDescent="0.25">
      <c r="A542" s="18">
        <v>49065</v>
      </c>
      <c r="C542" s="18">
        <v>52708</v>
      </c>
    </row>
    <row r="543" spans="1:3" x14ac:dyDescent="0.25">
      <c r="A543" s="18">
        <v>49103</v>
      </c>
      <c r="C543" s="18">
        <v>52718</v>
      </c>
    </row>
    <row r="544" spans="1:3" x14ac:dyDescent="0.25">
      <c r="A544" s="18">
        <v>49194</v>
      </c>
      <c r="C544" s="18">
        <v>52764</v>
      </c>
    </row>
    <row r="545" spans="1:3" x14ac:dyDescent="0.25">
      <c r="A545" s="18">
        <v>49229</v>
      </c>
      <c r="C545" s="18">
        <v>52847</v>
      </c>
    </row>
    <row r="546" spans="1:3" x14ac:dyDescent="0.25">
      <c r="A546" s="18">
        <v>49250</v>
      </c>
      <c r="C546" s="18">
        <v>52882</v>
      </c>
    </row>
    <row r="547" spans="1:3" x14ac:dyDescent="0.25">
      <c r="A547" s="18">
        <v>49263</v>
      </c>
      <c r="C547" s="18">
        <v>52903</v>
      </c>
    </row>
    <row r="548" spans="1:3" x14ac:dyDescent="0.25">
      <c r="A548" s="18">
        <v>49268</v>
      </c>
      <c r="C548" s="18">
        <v>52916</v>
      </c>
    </row>
    <row r="549" spans="1:3" x14ac:dyDescent="0.25">
      <c r="A549" s="18">
        <v>49302</v>
      </c>
      <c r="C549" s="18">
        <v>52921</v>
      </c>
    </row>
    <row r="550" spans="1:3" x14ac:dyDescent="0.25">
      <c r="A550" s="18">
        <v>49303</v>
      </c>
      <c r="C550" s="18">
        <v>52956</v>
      </c>
    </row>
    <row r="551" spans="1:3" x14ac:dyDescent="0.25">
      <c r="A551" s="18">
        <v>49309</v>
      </c>
      <c r="C551" s="18">
        <v>52963</v>
      </c>
    </row>
    <row r="552" spans="1:3" x14ac:dyDescent="0.25">
      <c r="A552" s="18">
        <v>49310</v>
      </c>
      <c r="C552" s="18">
        <v>53013</v>
      </c>
    </row>
    <row r="553" spans="1:3" x14ac:dyDescent="0.25">
      <c r="A553" s="18">
        <v>49345</v>
      </c>
      <c r="C553" s="18">
        <v>53014</v>
      </c>
    </row>
    <row r="554" spans="1:3" x14ac:dyDescent="0.25">
      <c r="A554" s="18">
        <v>49346</v>
      </c>
      <c r="C554" s="18">
        <v>53059</v>
      </c>
    </row>
    <row r="555" spans="1:3" x14ac:dyDescent="0.25">
      <c r="A555" s="18">
        <v>49391</v>
      </c>
      <c r="C555" s="18">
        <v>53073</v>
      </c>
    </row>
    <row r="556" spans="1:3" x14ac:dyDescent="0.25">
      <c r="A556" s="18">
        <v>49420</v>
      </c>
      <c r="C556" s="18">
        <v>53083</v>
      </c>
    </row>
    <row r="557" spans="1:3" x14ac:dyDescent="0.25">
      <c r="A557" s="18">
        <v>49430</v>
      </c>
      <c r="C557" s="18">
        <v>53121</v>
      </c>
    </row>
    <row r="558" spans="1:3" x14ac:dyDescent="0.25">
      <c r="A558" s="18">
        <v>49453</v>
      </c>
      <c r="C558" s="18">
        <v>53212</v>
      </c>
    </row>
    <row r="559" spans="1:3" x14ac:dyDescent="0.25">
      <c r="A559" s="18">
        <v>49559</v>
      </c>
      <c r="C559" s="18">
        <v>53247</v>
      </c>
    </row>
    <row r="560" spans="1:3" x14ac:dyDescent="0.25">
      <c r="A560" s="18">
        <v>49594</v>
      </c>
      <c r="C560" s="18">
        <v>53268</v>
      </c>
    </row>
    <row r="561" spans="1:3" x14ac:dyDescent="0.25">
      <c r="A561" s="18">
        <v>49615</v>
      </c>
      <c r="C561" s="18">
        <v>53281</v>
      </c>
    </row>
    <row r="562" spans="1:3" x14ac:dyDescent="0.25">
      <c r="A562" s="18">
        <v>49628</v>
      </c>
      <c r="C562" s="18">
        <v>53286</v>
      </c>
    </row>
    <row r="563" spans="1:3" x14ac:dyDescent="0.25">
      <c r="A563" s="18">
        <v>49633</v>
      </c>
      <c r="C563" s="18">
        <v>53321</v>
      </c>
    </row>
    <row r="564" spans="1:3" x14ac:dyDescent="0.25">
      <c r="A564" s="18">
        <v>49667</v>
      </c>
      <c r="C564" s="18">
        <v>53328</v>
      </c>
    </row>
    <row r="565" spans="1:3" x14ac:dyDescent="0.25">
      <c r="A565" s="18">
        <v>49668</v>
      </c>
      <c r="C565" s="18">
        <v>53363</v>
      </c>
    </row>
    <row r="566" spans="1:3" x14ac:dyDescent="0.25">
      <c r="A566" s="18">
        <v>49674</v>
      </c>
      <c r="C566" s="18">
        <v>53364</v>
      </c>
    </row>
    <row r="567" spans="1:3" x14ac:dyDescent="0.25">
      <c r="A567" s="18">
        <v>49675</v>
      </c>
      <c r="C567" s="18">
        <v>53409</v>
      </c>
    </row>
    <row r="568" spans="1:3" x14ac:dyDescent="0.25">
      <c r="A568" s="18">
        <v>49730</v>
      </c>
      <c r="C568" s="18">
        <v>53438</v>
      </c>
    </row>
    <row r="569" spans="1:3" x14ac:dyDescent="0.25">
      <c r="A569" s="18">
        <v>49731</v>
      </c>
      <c r="C569" s="18">
        <v>53448</v>
      </c>
    </row>
    <row r="570" spans="1:3" x14ac:dyDescent="0.25">
      <c r="A570" s="18">
        <v>49776</v>
      </c>
      <c r="C570" s="18">
        <v>53471</v>
      </c>
    </row>
    <row r="571" spans="1:3" x14ac:dyDescent="0.25">
      <c r="A571" s="18">
        <v>49786</v>
      </c>
      <c r="C571" s="18">
        <v>53577</v>
      </c>
    </row>
    <row r="572" spans="1:3" x14ac:dyDescent="0.25">
      <c r="A572" s="18">
        <v>49796</v>
      </c>
      <c r="C572" s="18">
        <v>53612</v>
      </c>
    </row>
    <row r="573" spans="1:3" x14ac:dyDescent="0.25">
      <c r="A573" s="18">
        <v>49838</v>
      </c>
      <c r="C573" s="18">
        <v>53633</v>
      </c>
    </row>
    <row r="574" spans="1:3" x14ac:dyDescent="0.25">
      <c r="A574" s="18">
        <v>49925</v>
      </c>
      <c r="C574" s="18">
        <v>53646</v>
      </c>
    </row>
    <row r="575" spans="1:3" x14ac:dyDescent="0.25">
      <c r="A575" s="18">
        <v>49960</v>
      </c>
      <c r="C575" s="18">
        <v>53651</v>
      </c>
    </row>
    <row r="576" spans="1:3" x14ac:dyDescent="0.25">
      <c r="A576" s="18">
        <v>49981</v>
      </c>
      <c r="C576" s="18">
        <v>53686</v>
      </c>
    </row>
    <row r="577" spans="1:3" x14ac:dyDescent="0.25">
      <c r="A577" s="18">
        <v>49994</v>
      </c>
      <c r="C577" s="18">
        <v>53693</v>
      </c>
    </row>
    <row r="578" spans="1:3" x14ac:dyDescent="0.25">
      <c r="A578" s="18">
        <v>49999</v>
      </c>
      <c r="C578" s="18">
        <v>53748</v>
      </c>
    </row>
    <row r="579" spans="1:3" x14ac:dyDescent="0.25">
      <c r="A579" s="18">
        <v>50033</v>
      </c>
      <c r="C579" s="18">
        <v>53749</v>
      </c>
    </row>
    <row r="580" spans="1:3" x14ac:dyDescent="0.25">
      <c r="A580" s="18">
        <v>50034</v>
      </c>
      <c r="C580" s="18">
        <v>53794</v>
      </c>
    </row>
    <row r="581" spans="1:3" x14ac:dyDescent="0.25">
      <c r="A581" s="18">
        <v>50040</v>
      </c>
      <c r="C581" s="18">
        <v>53803</v>
      </c>
    </row>
    <row r="582" spans="1:3" x14ac:dyDescent="0.25">
      <c r="A582" s="18">
        <v>50041</v>
      </c>
      <c r="C582" s="18">
        <v>53813</v>
      </c>
    </row>
    <row r="583" spans="1:3" x14ac:dyDescent="0.25">
      <c r="A583" s="18">
        <v>50087</v>
      </c>
      <c r="C583" s="18">
        <v>53856</v>
      </c>
    </row>
    <row r="584" spans="1:3" x14ac:dyDescent="0.25">
      <c r="A584" s="18">
        <v>50088</v>
      </c>
      <c r="C584" s="18">
        <v>53942</v>
      </c>
    </row>
    <row r="585" spans="1:3" x14ac:dyDescent="0.25">
      <c r="A585" s="18">
        <v>50133</v>
      </c>
      <c r="C585" s="18">
        <v>53977</v>
      </c>
    </row>
    <row r="586" spans="1:3" x14ac:dyDescent="0.25">
      <c r="A586" s="18">
        <v>50151</v>
      </c>
      <c r="C586" s="18">
        <v>53998</v>
      </c>
    </row>
    <row r="587" spans="1:3" x14ac:dyDescent="0.25">
      <c r="A587" s="18">
        <v>50161</v>
      </c>
      <c r="C587" s="18">
        <v>54011</v>
      </c>
    </row>
    <row r="588" spans="1:3" x14ac:dyDescent="0.25">
      <c r="A588" s="18">
        <v>50195</v>
      </c>
      <c r="C588" s="18">
        <v>54016</v>
      </c>
    </row>
    <row r="589" spans="1:3" x14ac:dyDescent="0.25">
      <c r="A589" s="18">
        <v>50290</v>
      </c>
      <c r="C589" s="18">
        <v>54051</v>
      </c>
    </row>
    <row r="590" spans="1:3" x14ac:dyDescent="0.25">
      <c r="A590" s="18">
        <v>50325</v>
      </c>
      <c r="C590" s="18">
        <v>54058</v>
      </c>
    </row>
    <row r="591" spans="1:3" x14ac:dyDescent="0.25">
      <c r="A591" s="18">
        <v>50346</v>
      </c>
      <c r="C591" s="18">
        <v>54105</v>
      </c>
    </row>
    <row r="592" spans="1:3" x14ac:dyDescent="0.25">
      <c r="A592" s="18">
        <v>50359</v>
      </c>
      <c r="C592" s="18">
        <v>54106</v>
      </c>
    </row>
    <row r="593" spans="1:3" x14ac:dyDescent="0.25">
      <c r="A593" s="18">
        <v>50364</v>
      </c>
      <c r="C593" s="18">
        <v>54151</v>
      </c>
    </row>
    <row r="594" spans="1:3" x14ac:dyDescent="0.25">
      <c r="A594" s="18">
        <v>50398</v>
      </c>
      <c r="C594" s="18">
        <v>54169</v>
      </c>
    </row>
    <row r="595" spans="1:3" x14ac:dyDescent="0.25">
      <c r="A595" s="18">
        <v>50399</v>
      </c>
      <c r="C595" s="18">
        <v>54179</v>
      </c>
    </row>
    <row r="596" spans="1:3" x14ac:dyDescent="0.25">
      <c r="A596" s="18">
        <v>50405</v>
      </c>
      <c r="C596" s="18">
        <v>54213</v>
      </c>
    </row>
    <row r="597" spans="1:3" x14ac:dyDescent="0.25">
      <c r="A597" s="18">
        <v>50406</v>
      </c>
      <c r="C597" s="18">
        <v>54308</v>
      </c>
    </row>
    <row r="598" spans="1:3" x14ac:dyDescent="0.25">
      <c r="A598" s="18">
        <v>50472</v>
      </c>
      <c r="C598" s="18">
        <v>54343</v>
      </c>
    </row>
    <row r="599" spans="1:3" x14ac:dyDescent="0.25">
      <c r="A599" s="18">
        <v>50473</v>
      </c>
      <c r="C599" s="18">
        <v>54364</v>
      </c>
    </row>
    <row r="600" spans="1:3" x14ac:dyDescent="0.25">
      <c r="A600" s="18">
        <v>50516</v>
      </c>
      <c r="C600" s="18">
        <v>54377</v>
      </c>
    </row>
    <row r="601" spans="1:3" x14ac:dyDescent="0.25">
      <c r="A601" s="18">
        <v>50518</v>
      </c>
      <c r="C601" s="18">
        <v>54382</v>
      </c>
    </row>
    <row r="602" spans="1:3" x14ac:dyDescent="0.25">
      <c r="A602" s="18">
        <v>50526</v>
      </c>
      <c r="C602" s="18">
        <v>54417</v>
      </c>
    </row>
    <row r="603" spans="1:3" x14ac:dyDescent="0.25">
      <c r="A603" s="18">
        <v>50580</v>
      </c>
      <c r="C603" s="18">
        <v>54424</v>
      </c>
    </row>
    <row r="604" spans="1:3" x14ac:dyDescent="0.25">
      <c r="A604" s="18">
        <v>50655</v>
      </c>
      <c r="C604" s="18">
        <v>54483</v>
      </c>
    </row>
    <row r="605" spans="1:3" x14ac:dyDescent="0.25">
      <c r="A605" s="18">
        <v>50690</v>
      </c>
      <c r="C605" s="18">
        <v>54484</v>
      </c>
    </row>
    <row r="606" spans="1:3" x14ac:dyDescent="0.25">
      <c r="A606" s="18">
        <v>50711</v>
      </c>
      <c r="C606" s="18">
        <v>54529</v>
      </c>
    </row>
    <row r="607" spans="1:3" x14ac:dyDescent="0.25">
      <c r="A607" s="18">
        <v>50724</v>
      </c>
      <c r="C607" s="18">
        <v>54534</v>
      </c>
    </row>
    <row r="608" spans="1:3" x14ac:dyDescent="0.25">
      <c r="A608" s="18">
        <v>50729</v>
      </c>
      <c r="C608" s="18">
        <v>54544</v>
      </c>
    </row>
    <row r="609" spans="1:3" x14ac:dyDescent="0.25">
      <c r="A609" s="18">
        <v>50763</v>
      </c>
      <c r="C609" s="18">
        <v>54591</v>
      </c>
    </row>
    <row r="610" spans="1:3" x14ac:dyDescent="0.25">
      <c r="A610" s="18">
        <v>50764</v>
      </c>
      <c r="C610" s="18">
        <v>54673</v>
      </c>
    </row>
    <row r="611" spans="1:3" x14ac:dyDescent="0.25">
      <c r="A611" s="18">
        <v>50770</v>
      </c>
      <c r="C611" s="18">
        <v>54708</v>
      </c>
    </row>
    <row r="612" spans="1:3" x14ac:dyDescent="0.25">
      <c r="A612" s="18">
        <v>50771</v>
      </c>
      <c r="C612" s="18">
        <v>54729</v>
      </c>
    </row>
    <row r="613" spans="1:3" x14ac:dyDescent="0.25">
      <c r="A613" s="18">
        <v>50822</v>
      </c>
      <c r="C613" s="18">
        <v>54742</v>
      </c>
    </row>
    <row r="614" spans="1:3" x14ac:dyDescent="0.25">
      <c r="A614" s="18">
        <v>50823</v>
      </c>
      <c r="C614" s="18">
        <v>54747</v>
      </c>
    </row>
    <row r="615" spans="1:3" x14ac:dyDescent="0.25">
      <c r="A615" s="18">
        <v>50868</v>
      </c>
      <c r="C615" s="18">
        <v>54782</v>
      </c>
    </row>
    <row r="616" spans="1:3" x14ac:dyDescent="0.25">
      <c r="A616" s="18">
        <v>50881</v>
      </c>
      <c r="C616" s="18">
        <v>54789</v>
      </c>
    </row>
    <row r="617" spans="1:3" x14ac:dyDescent="0.25">
      <c r="A617" s="18">
        <v>50891</v>
      </c>
      <c r="C617" s="18">
        <v>54840</v>
      </c>
    </row>
    <row r="618" spans="1:3" x14ac:dyDescent="0.25">
      <c r="A618" s="18">
        <v>50930</v>
      </c>
      <c r="C618" s="18">
        <v>54841</v>
      </c>
    </row>
    <row r="619" spans="1:3" x14ac:dyDescent="0.25">
      <c r="A619" s="18">
        <v>51020</v>
      </c>
      <c r="C619" s="18">
        <v>54886</v>
      </c>
    </row>
    <row r="620" spans="1:3" x14ac:dyDescent="0.25">
      <c r="A620" s="18">
        <v>51055</v>
      </c>
      <c r="C620" s="18">
        <v>54899</v>
      </c>
    </row>
    <row r="621" spans="1:3" x14ac:dyDescent="0.25">
      <c r="A621" s="18">
        <v>51076</v>
      </c>
      <c r="C621" s="18">
        <v>54909</v>
      </c>
    </row>
    <row r="622" spans="1:3" x14ac:dyDescent="0.25">
      <c r="A622" s="18">
        <v>51089</v>
      </c>
      <c r="C622" s="18">
        <v>54948</v>
      </c>
    </row>
    <row r="623" spans="1:3" x14ac:dyDescent="0.25">
      <c r="A623" s="18">
        <v>51094</v>
      </c>
      <c r="C623" s="18">
        <v>55038</v>
      </c>
    </row>
    <row r="624" spans="1:3" x14ac:dyDescent="0.25">
      <c r="A624" s="18">
        <v>51128</v>
      </c>
      <c r="C624" s="18">
        <v>55073</v>
      </c>
    </row>
    <row r="625" spans="1:3" x14ac:dyDescent="0.25">
      <c r="A625" s="18">
        <v>51129</v>
      </c>
      <c r="C625" s="18">
        <v>55094</v>
      </c>
    </row>
    <row r="626" spans="1:3" x14ac:dyDescent="0.25">
      <c r="A626" s="18">
        <v>51135</v>
      </c>
      <c r="C626" s="18">
        <v>55107</v>
      </c>
    </row>
    <row r="627" spans="1:3" x14ac:dyDescent="0.25">
      <c r="A627" s="18">
        <v>51136</v>
      </c>
      <c r="C627" s="18">
        <v>55112</v>
      </c>
    </row>
    <row r="628" spans="1:3" x14ac:dyDescent="0.25">
      <c r="A628" s="18">
        <v>51179</v>
      </c>
      <c r="C628" s="18">
        <v>55147</v>
      </c>
    </row>
    <row r="629" spans="1:3" x14ac:dyDescent="0.25">
      <c r="A629" s="18">
        <v>51180</v>
      </c>
      <c r="C629" s="18">
        <v>55154</v>
      </c>
    </row>
    <row r="630" spans="1:3" x14ac:dyDescent="0.25">
      <c r="A630" s="18">
        <v>51225</v>
      </c>
      <c r="C630" s="18">
        <v>55197</v>
      </c>
    </row>
    <row r="631" spans="1:3" x14ac:dyDescent="0.25">
      <c r="A631" s="18">
        <v>51247</v>
      </c>
      <c r="C631" s="18">
        <v>55198</v>
      </c>
    </row>
    <row r="632" spans="1:3" x14ac:dyDescent="0.25">
      <c r="A632" s="18">
        <v>51257</v>
      </c>
      <c r="C632" s="18">
        <v>55243</v>
      </c>
    </row>
    <row r="633" spans="1:3" x14ac:dyDescent="0.25">
      <c r="A633" s="18">
        <v>51287</v>
      </c>
      <c r="C633" s="18">
        <v>55264</v>
      </c>
    </row>
    <row r="634" spans="1:3" x14ac:dyDescent="0.25">
      <c r="A634" s="18">
        <v>51386</v>
      </c>
      <c r="C634" s="18">
        <v>55274</v>
      </c>
    </row>
    <row r="635" spans="1:3" x14ac:dyDescent="0.25">
      <c r="A635" s="18">
        <v>51421</v>
      </c>
      <c r="C635" s="18">
        <v>55305</v>
      </c>
    </row>
    <row r="636" spans="1:3" x14ac:dyDescent="0.25">
      <c r="A636" s="18">
        <v>51442</v>
      </c>
      <c r="C636" s="18">
        <v>55403</v>
      </c>
    </row>
    <row r="637" spans="1:3" x14ac:dyDescent="0.25">
      <c r="A637" s="18">
        <v>51455</v>
      </c>
      <c r="C637" s="18">
        <v>55438</v>
      </c>
    </row>
    <row r="638" spans="1:3" x14ac:dyDescent="0.25">
      <c r="A638" s="18">
        <v>51460</v>
      </c>
      <c r="C638" s="18">
        <v>55459</v>
      </c>
    </row>
    <row r="639" spans="1:3" x14ac:dyDescent="0.25">
      <c r="A639" s="18">
        <v>51494</v>
      </c>
      <c r="C639" s="18">
        <v>55472</v>
      </c>
    </row>
    <row r="640" spans="1:3" x14ac:dyDescent="0.25">
      <c r="A640" s="18">
        <v>51495</v>
      </c>
      <c r="C640" s="18">
        <v>55477</v>
      </c>
    </row>
    <row r="641" spans="1:3" x14ac:dyDescent="0.25">
      <c r="A641" s="18">
        <v>51501</v>
      </c>
      <c r="C641" s="18">
        <v>55512</v>
      </c>
    </row>
    <row r="642" spans="1:3" x14ac:dyDescent="0.25">
      <c r="A642" s="18">
        <v>51502</v>
      </c>
      <c r="C642" s="18">
        <v>55519</v>
      </c>
    </row>
    <row r="643" spans="1:3" x14ac:dyDescent="0.25">
      <c r="A643" s="18">
        <v>51564</v>
      </c>
      <c r="C643" s="18">
        <v>55582</v>
      </c>
    </row>
    <row r="644" spans="1:3" x14ac:dyDescent="0.25">
      <c r="A644" s="18">
        <v>51565</v>
      </c>
      <c r="C644" s="18">
        <v>55583</v>
      </c>
    </row>
    <row r="645" spans="1:3" x14ac:dyDescent="0.25">
      <c r="A645" s="18">
        <v>51610</v>
      </c>
      <c r="C645" s="18">
        <v>55628</v>
      </c>
    </row>
    <row r="646" spans="1:3" x14ac:dyDescent="0.25">
      <c r="A646" s="18">
        <v>51612</v>
      </c>
      <c r="C646" s="18">
        <v>55630</v>
      </c>
    </row>
    <row r="647" spans="1:3" x14ac:dyDescent="0.25">
      <c r="A647" s="18">
        <v>51622</v>
      </c>
      <c r="C647" s="18">
        <v>55640</v>
      </c>
    </row>
    <row r="648" spans="1:3" x14ac:dyDescent="0.25">
      <c r="A648" s="18">
        <v>51672</v>
      </c>
      <c r="C648" s="18">
        <v>55690</v>
      </c>
    </row>
    <row r="649" spans="1:3" x14ac:dyDescent="0.25">
      <c r="A649" s="18">
        <v>51751</v>
      </c>
      <c r="C649" s="18">
        <v>55769</v>
      </c>
    </row>
    <row r="650" spans="1:3" x14ac:dyDescent="0.25">
      <c r="A650" s="18">
        <v>51786</v>
      </c>
      <c r="C650" s="18">
        <v>55804</v>
      </c>
    </row>
    <row r="651" spans="1:3" x14ac:dyDescent="0.25">
      <c r="A651" s="18">
        <v>51807</v>
      </c>
      <c r="C651" s="18">
        <v>55825</v>
      </c>
    </row>
    <row r="652" spans="1:3" x14ac:dyDescent="0.25">
      <c r="A652" s="18">
        <v>51820</v>
      </c>
      <c r="C652" s="18">
        <v>55838</v>
      </c>
    </row>
    <row r="653" spans="1:3" x14ac:dyDescent="0.25">
      <c r="A653" s="18">
        <v>51825</v>
      </c>
      <c r="C653" s="18">
        <v>55843</v>
      </c>
    </row>
    <row r="654" spans="1:3" x14ac:dyDescent="0.25">
      <c r="A654" s="18">
        <v>51859</v>
      </c>
      <c r="C654" s="18">
        <v>55878</v>
      </c>
    </row>
    <row r="655" spans="1:3" x14ac:dyDescent="0.25">
      <c r="A655" s="18">
        <v>51860</v>
      </c>
      <c r="C655" s="18">
        <v>55885</v>
      </c>
    </row>
    <row r="656" spans="1:3" x14ac:dyDescent="0.25">
      <c r="A656" s="18">
        <v>51866</v>
      </c>
      <c r="C656" s="18">
        <v>55932</v>
      </c>
    </row>
    <row r="657" spans="1:3" x14ac:dyDescent="0.25">
      <c r="A657" s="18">
        <v>51867</v>
      </c>
      <c r="C657" s="18">
        <v>55933</v>
      </c>
    </row>
    <row r="658" spans="1:3" x14ac:dyDescent="0.25">
      <c r="A658" s="18">
        <v>51914</v>
      </c>
      <c r="C658" s="18">
        <v>55978</v>
      </c>
    </row>
    <row r="659" spans="1:3" x14ac:dyDescent="0.25">
      <c r="A659" s="18">
        <v>51915</v>
      </c>
      <c r="C659" s="18">
        <v>55995</v>
      </c>
    </row>
    <row r="660" spans="1:3" x14ac:dyDescent="0.25">
      <c r="A660" s="18">
        <v>51960</v>
      </c>
      <c r="C660" s="18">
        <v>56005</v>
      </c>
    </row>
    <row r="661" spans="1:3" x14ac:dyDescent="0.25">
      <c r="A661" s="18">
        <v>51977</v>
      </c>
      <c r="C661" s="18">
        <v>56040</v>
      </c>
    </row>
    <row r="662" spans="1:3" x14ac:dyDescent="0.25">
      <c r="A662" s="18">
        <v>51987</v>
      </c>
      <c r="C662" s="18">
        <v>56134</v>
      </c>
    </row>
    <row r="663" spans="1:3" x14ac:dyDescent="0.25">
      <c r="A663" s="18">
        <v>52022</v>
      </c>
      <c r="C663" s="18">
        <v>56169</v>
      </c>
    </row>
    <row r="664" spans="1:3" x14ac:dyDescent="0.25">
      <c r="A664" s="18">
        <v>52116</v>
      </c>
      <c r="C664" s="18">
        <v>56190</v>
      </c>
    </row>
    <row r="665" spans="1:3" x14ac:dyDescent="0.25">
      <c r="A665" s="18">
        <v>52151</v>
      </c>
      <c r="C665" s="18">
        <v>56203</v>
      </c>
    </row>
    <row r="666" spans="1:3" x14ac:dyDescent="0.25">
      <c r="A666" s="18">
        <v>52172</v>
      </c>
      <c r="C666" s="18">
        <v>56208</v>
      </c>
    </row>
    <row r="667" spans="1:3" x14ac:dyDescent="0.25">
      <c r="A667" s="18">
        <v>52185</v>
      </c>
      <c r="C667" s="18">
        <v>56243</v>
      </c>
    </row>
    <row r="668" spans="1:3" x14ac:dyDescent="0.25">
      <c r="A668" s="18">
        <v>52190</v>
      </c>
      <c r="C668" s="18">
        <v>56250</v>
      </c>
    </row>
    <row r="669" spans="1:3" x14ac:dyDescent="0.25">
      <c r="A669" s="18">
        <v>52224</v>
      </c>
      <c r="C669" s="18">
        <v>56289</v>
      </c>
    </row>
    <row r="670" spans="1:3" x14ac:dyDescent="0.25">
      <c r="A670" s="18">
        <v>52225</v>
      </c>
      <c r="C670" s="18">
        <v>56290</v>
      </c>
    </row>
    <row r="671" spans="1:3" x14ac:dyDescent="0.25">
      <c r="A671" s="18">
        <v>52231</v>
      </c>
      <c r="C671" s="18">
        <v>56335</v>
      </c>
    </row>
    <row r="672" spans="1:3" x14ac:dyDescent="0.25">
      <c r="A672" s="18">
        <v>52232</v>
      </c>
      <c r="C672" s="18">
        <v>56360</v>
      </c>
    </row>
    <row r="673" spans="1:3" x14ac:dyDescent="0.25">
      <c r="A673" s="18">
        <v>52271</v>
      </c>
      <c r="C673" s="18">
        <v>56370</v>
      </c>
    </row>
    <row r="674" spans="1:3" x14ac:dyDescent="0.25">
      <c r="A674" s="18">
        <v>52272</v>
      </c>
      <c r="C674" s="18">
        <v>56397</v>
      </c>
    </row>
    <row r="675" spans="1:3" x14ac:dyDescent="0.25">
      <c r="A675" s="18">
        <v>52317</v>
      </c>
      <c r="C675" s="18">
        <v>56499</v>
      </c>
    </row>
    <row r="676" spans="1:3" x14ac:dyDescent="0.25">
      <c r="A676" s="18">
        <v>52342</v>
      </c>
      <c r="C676" s="18">
        <v>56534</v>
      </c>
    </row>
    <row r="677" spans="1:3" x14ac:dyDescent="0.25">
      <c r="A677" s="18">
        <v>52352</v>
      </c>
      <c r="C677" s="18">
        <v>56555</v>
      </c>
    </row>
    <row r="678" spans="1:3" x14ac:dyDescent="0.25">
      <c r="A678" s="18">
        <v>52379</v>
      </c>
      <c r="C678" s="18">
        <v>56568</v>
      </c>
    </row>
    <row r="679" spans="1:3" x14ac:dyDescent="0.25">
      <c r="A679" s="18">
        <v>52481</v>
      </c>
      <c r="C679" s="18">
        <v>56573</v>
      </c>
    </row>
    <row r="680" spans="1:3" x14ac:dyDescent="0.25">
      <c r="A680" s="18">
        <v>52516</v>
      </c>
      <c r="C680" s="18">
        <v>56608</v>
      </c>
    </row>
    <row r="681" spans="1:3" x14ac:dyDescent="0.25">
      <c r="A681" s="18">
        <v>52537</v>
      </c>
      <c r="C681" s="18">
        <v>56615</v>
      </c>
    </row>
    <row r="682" spans="1:3" x14ac:dyDescent="0.25">
      <c r="A682" s="18">
        <v>52550</v>
      </c>
      <c r="C682" s="18">
        <v>56674</v>
      </c>
    </row>
    <row r="683" spans="1:3" x14ac:dyDescent="0.25">
      <c r="A683" s="18">
        <v>52555</v>
      </c>
      <c r="C683" s="18">
        <v>56675</v>
      </c>
    </row>
    <row r="684" spans="1:3" x14ac:dyDescent="0.25">
      <c r="A684" s="18">
        <v>52589</v>
      </c>
      <c r="C684" s="18">
        <v>56720</v>
      </c>
    </row>
    <row r="685" spans="1:3" x14ac:dyDescent="0.25">
      <c r="A685" s="18">
        <v>52590</v>
      </c>
      <c r="C685" s="18">
        <v>56725</v>
      </c>
    </row>
    <row r="686" spans="1:3" x14ac:dyDescent="0.25">
      <c r="A686" s="18">
        <v>52596</v>
      </c>
      <c r="C686" s="18">
        <v>56735</v>
      </c>
    </row>
    <row r="687" spans="1:3" x14ac:dyDescent="0.25">
      <c r="A687" s="18">
        <v>52597</v>
      </c>
      <c r="C687" s="18">
        <v>56782</v>
      </c>
    </row>
    <row r="688" spans="1:3" x14ac:dyDescent="0.25">
      <c r="A688" s="18">
        <v>52656</v>
      </c>
      <c r="C688" s="18">
        <v>56864</v>
      </c>
    </row>
    <row r="689" spans="1:3" x14ac:dyDescent="0.25">
      <c r="A689" s="18">
        <v>52657</v>
      </c>
      <c r="C689" s="18">
        <v>56899</v>
      </c>
    </row>
    <row r="690" spans="1:3" x14ac:dyDescent="0.25">
      <c r="A690" s="18">
        <v>52702</v>
      </c>
      <c r="C690" s="18">
        <v>56920</v>
      </c>
    </row>
    <row r="691" spans="1:3" x14ac:dyDescent="0.25">
      <c r="A691" s="18">
        <v>52708</v>
      </c>
      <c r="C691" s="18">
        <v>56933</v>
      </c>
    </row>
    <row r="692" spans="1:3" x14ac:dyDescent="0.25">
      <c r="A692" s="18">
        <v>52718</v>
      </c>
      <c r="C692" s="18">
        <v>56938</v>
      </c>
    </row>
    <row r="693" spans="1:3" x14ac:dyDescent="0.25">
      <c r="A693" s="18">
        <v>52764</v>
      </c>
      <c r="C693" s="18">
        <v>56973</v>
      </c>
    </row>
    <row r="694" spans="1:3" x14ac:dyDescent="0.25">
      <c r="A694" s="18">
        <v>52847</v>
      </c>
      <c r="C694" s="18">
        <v>56980</v>
      </c>
    </row>
    <row r="695" spans="1:3" x14ac:dyDescent="0.25">
      <c r="A695" s="18">
        <v>52882</v>
      </c>
      <c r="C695" s="18">
        <v>57024</v>
      </c>
    </row>
    <row r="696" spans="1:3" x14ac:dyDescent="0.25">
      <c r="A696" s="18">
        <v>52903</v>
      </c>
      <c r="C696" s="18">
        <v>57025</v>
      </c>
    </row>
    <row r="697" spans="1:3" x14ac:dyDescent="0.25">
      <c r="A697" s="18">
        <v>52916</v>
      </c>
      <c r="C697" s="18">
        <v>57070</v>
      </c>
    </row>
    <row r="698" spans="1:3" x14ac:dyDescent="0.25">
      <c r="A698" s="18">
        <v>52921</v>
      </c>
      <c r="C698" s="18">
        <v>57091</v>
      </c>
    </row>
    <row r="699" spans="1:3" x14ac:dyDescent="0.25">
      <c r="A699" s="18">
        <v>52955</v>
      </c>
      <c r="C699" s="18">
        <v>57101</v>
      </c>
    </row>
    <row r="700" spans="1:3" x14ac:dyDescent="0.25">
      <c r="A700" s="18">
        <v>52956</v>
      </c>
      <c r="C700" s="18">
        <v>57132</v>
      </c>
    </row>
    <row r="701" spans="1:3" x14ac:dyDescent="0.25">
      <c r="A701" s="18">
        <v>52962</v>
      </c>
      <c r="C701" s="18">
        <v>57230</v>
      </c>
    </row>
    <row r="702" spans="1:3" x14ac:dyDescent="0.25">
      <c r="A702" s="18">
        <v>52963</v>
      </c>
      <c r="C702" s="18">
        <v>57265</v>
      </c>
    </row>
    <row r="703" spans="1:3" x14ac:dyDescent="0.25">
      <c r="A703" s="18">
        <v>53013</v>
      </c>
      <c r="C703" s="18">
        <v>57286</v>
      </c>
    </row>
    <row r="704" spans="1:3" x14ac:dyDescent="0.25">
      <c r="A704" s="18">
        <v>53014</v>
      </c>
      <c r="C704" s="18">
        <v>57299</v>
      </c>
    </row>
    <row r="705" spans="1:3" x14ac:dyDescent="0.25">
      <c r="A705" s="18">
        <v>53059</v>
      </c>
      <c r="C705" s="18">
        <v>57304</v>
      </c>
    </row>
    <row r="706" spans="1:3" x14ac:dyDescent="0.25">
      <c r="A706" s="18">
        <v>53073</v>
      </c>
      <c r="C706" s="18">
        <v>57339</v>
      </c>
    </row>
    <row r="707" spans="1:3" x14ac:dyDescent="0.25">
      <c r="A707" s="18">
        <v>53083</v>
      </c>
      <c r="C707" s="18">
        <v>57346</v>
      </c>
    </row>
    <row r="708" spans="1:3" x14ac:dyDescent="0.25">
      <c r="A708" s="18">
        <v>53121</v>
      </c>
      <c r="C708" s="18">
        <v>57409</v>
      </c>
    </row>
    <row r="709" spans="1:3" x14ac:dyDescent="0.25">
      <c r="A709" s="18">
        <v>53212</v>
      </c>
      <c r="C709" s="18">
        <v>57410</v>
      </c>
    </row>
    <row r="710" spans="1:3" x14ac:dyDescent="0.25">
      <c r="A710" s="18">
        <v>53247</v>
      </c>
      <c r="C710" s="18">
        <v>57455</v>
      </c>
    </row>
    <row r="711" spans="1:3" x14ac:dyDescent="0.25">
      <c r="A711" s="18">
        <v>53268</v>
      </c>
      <c r="C711" s="18">
        <v>57456</v>
      </c>
    </row>
    <row r="712" spans="1:3" x14ac:dyDescent="0.25">
      <c r="A712" s="18">
        <v>53281</v>
      </c>
      <c r="C712" s="18">
        <v>57466</v>
      </c>
    </row>
    <row r="713" spans="1:3" x14ac:dyDescent="0.25">
      <c r="A713" s="18">
        <v>53286</v>
      </c>
      <c r="C713" s="18">
        <v>57517</v>
      </c>
    </row>
    <row r="714" spans="1:3" x14ac:dyDescent="0.25">
      <c r="A714" s="18">
        <v>53320</v>
      </c>
      <c r="C714" s="18">
        <v>57595</v>
      </c>
    </row>
    <row r="715" spans="1:3" x14ac:dyDescent="0.25">
      <c r="A715" s="18">
        <v>53321</v>
      </c>
      <c r="C715" s="18">
        <v>57630</v>
      </c>
    </row>
    <row r="716" spans="1:3" x14ac:dyDescent="0.25">
      <c r="A716" s="18">
        <v>53327</v>
      </c>
      <c r="C716" s="18">
        <v>57651</v>
      </c>
    </row>
    <row r="717" spans="1:3" x14ac:dyDescent="0.25">
      <c r="A717" s="18">
        <v>53328</v>
      </c>
      <c r="C717" s="18">
        <v>57664</v>
      </c>
    </row>
    <row r="718" spans="1:3" x14ac:dyDescent="0.25">
      <c r="A718" s="18">
        <v>53363</v>
      </c>
      <c r="C718" s="18">
        <v>57669</v>
      </c>
    </row>
    <row r="719" spans="1:3" x14ac:dyDescent="0.25">
      <c r="A719" s="18">
        <v>53364</v>
      </c>
      <c r="C719" s="18">
        <v>57704</v>
      </c>
    </row>
    <row r="720" spans="1:3" x14ac:dyDescent="0.25">
      <c r="A720" s="18">
        <v>53409</v>
      </c>
      <c r="C720" s="18">
        <v>57711</v>
      </c>
    </row>
    <row r="721" spans="1:3" x14ac:dyDescent="0.25">
      <c r="A721" s="18">
        <v>53438</v>
      </c>
      <c r="C721" s="18">
        <v>57766</v>
      </c>
    </row>
    <row r="722" spans="1:3" x14ac:dyDescent="0.25">
      <c r="A722" s="18">
        <v>53448</v>
      </c>
      <c r="C722" s="18">
        <v>57767</v>
      </c>
    </row>
    <row r="723" spans="1:3" x14ac:dyDescent="0.25">
      <c r="A723" s="18">
        <v>53471</v>
      </c>
      <c r="C723" s="18">
        <v>57812</v>
      </c>
    </row>
    <row r="724" spans="1:3" x14ac:dyDescent="0.25">
      <c r="A724" s="18">
        <v>53577</v>
      </c>
      <c r="C724" s="18">
        <v>57821</v>
      </c>
    </row>
    <row r="725" spans="1:3" x14ac:dyDescent="0.25">
      <c r="A725" s="18">
        <v>53612</v>
      </c>
      <c r="C725" s="18">
        <v>57831</v>
      </c>
    </row>
    <row r="726" spans="1:3" x14ac:dyDescent="0.25">
      <c r="A726" s="18">
        <v>53633</v>
      </c>
      <c r="C726" s="18">
        <v>57874</v>
      </c>
    </row>
    <row r="727" spans="1:3" x14ac:dyDescent="0.25">
      <c r="A727" s="18">
        <v>53646</v>
      </c>
      <c r="C727" s="18">
        <v>57960</v>
      </c>
    </row>
    <row r="728" spans="1:3" x14ac:dyDescent="0.25">
      <c r="A728" s="18">
        <v>53651</v>
      </c>
      <c r="C728" s="18">
        <v>57995</v>
      </c>
    </row>
    <row r="729" spans="1:3" x14ac:dyDescent="0.25">
      <c r="A729" s="18">
        <v>53685</v>
      </c>
      <c r="C729" s="18">
        <v>58016</v>
      </c>
    </row>
    <row r="730" spans="1:3" x14ac:dyDescent="0.25">
      <c r="A730" s="18">
        <v>53686</v>
      </c>
      <c r="C730" s="18">
        <v>58029</v>
      </c>
    </row>
    <row r="731" spans="1:3" x14ac:dyDescent="0.25">
      <c r="A731" s="18">
        <v>53692</v>
      </c>
      <c r="C731" s="18">
        <v>58034</v>
      </c>
    </row>
    <row r="732" spans="1:3" x14ac:dyDescent="0.25">
      <c r="A732" s="18">
        <v>53693</v>
      </c>
      <c r="C732" s="18">
        <v>58069</v>
      </c>
    </row>
    <row r="733" spans="1:3" x14ac:dyDescent="0.25">
      <c r="A733" s="18">
        <v>53748</v>
      </c>
      <c r="C733" s="18">
        <v>58076</v>
      </c>
    </row>
    <row r="734" spans="1:3" x14ac:dyDescent="0.25">
      <c r="A734" s="18">
        <v>53749</v>
      </c>
      <c r="C734" s="18">
        <v>58116</v>
      </c>
    </row>
    <row r="735" spans="1:3" x14ac:dyDescent="0.25">
      <c r="A735" s="18">
        <v>53794</v>
      </c>
      <c r="C735" s="18">
        <v>58117</v>
      </c>
    </row>
    <row r="736" spans="1:3" x14ac:dyDescent="0.25">
      <c r="A736" s="18">
        <v>53803</v>
      </c>
      <c r="C736" s="18">
        <v>58162</v>
      </c>
    </row>
    <row r="737" spans="1:3" x14ac:dyDescent="0.25">
      <c r="A737" s="18">
        <v>53813</v>
      </c>
      <c r="C737" s="18">
        <v>58186</v>
      </c>
    </row>
    <row r="738" spans="1:3" x14ac:dyDescent="0.25">
      <c r="A738" s="18">
        <v>53856</v>
      </c>
      <c r="C738" s="18">
        <v>58196</v>
      </c>
    </row>
    <row r="739" spans="1:3" x14ac:dyDescent="0.25">
      <c r="A739" s="18">
        <v>53942</v>
      </c>
      <c r="C739" s="18">
        <v>58224</v>
      </c>
    </row>
    <row r="740" spans="1:3" x14ac:dyDescent="0.25">
      <c r="A740" s="18">
        <v>53977</v>
      </c>
      <c r="C740" s="18">
        <v>58325</v>
      </c>
    </row>
    <row r="741" spans="1:3" x14ac:dyDescent="0.25">
      <c r="A741" s="18">
        <v>53998</v>
      </c>
      <c r="C741" s="18">
        <v>58360</v>
      </c>
    </row>
    <row r="742" spans="1:3" x14ac:dyDescent="0.25">
      <c r="A742" s="18">
        <v>54011</v>
      </c>
      <c r="C742" s="18">
        <v>58381</v>
      </c>
    </row>
    <row r="743" spans="1:3" x14ac:dyDescent="0.25">
      <c r="A743" s="18">
        <v>54016</v>
      </c>
      <c r="C743" s="18">
        <v>58394</v>
      </c>
    </row>
    <row r="744" spans="1:3" x14ac:dyDescent="0.25">
      <c r="A744" s="18">
        <v>54050</v>
      </c>
      <c r="C744" s="18">
        <v>58399</v>
      </c>
    </row>
    <row r="745" spans="1:3" x14ac:dyDescent="0.25">
      <c r="A745" s="18">
        <v>54051</v>
      </c>
      <c r="C745" s="18">
        <v>58434</v>
      </c>
    </row>
    <row r="746" spans="1:3" x14ac:dyDescent="0.25">
      <c r="A746" s="18">
        <v>54057</v>
      </c>
      <c r="C746" s="18">
        <v>58441</v>
      </c>
    </row>
    <row r="747" spans="1:3" x14ac:dyDescent="0.25">
      <c r="A747" s="18">
        <v>54058</v>
      </c>
      <c r="C747" s="18">
        <v>58501</v>
      </c>
    </row>
    <row r="748" spans="1:3" x14ac:dyDescent="0.25">
      <c r="A748" s="18">
        <v>54105</v>
      </c>
      <c r="C748" s="18">
        <v>58502</v>
      </c>
    </row>
    <row r="749" spans="1:3" x14ac:dyDescent="0.25">
      <c r="A749" s="18">
        <v>54106</v>
      </c>
      <c r="C749" s="18">
        <v>58547</v>
      </c>
    </row>
    <row r="750" spans="1:3" x14ac:dyDescent="0.25">
      <c r="A750" s="18">
        <v>54151</v>
      </c>
      <c r="C750" s="18">
        <v>58552</v>
      </c>
    </row>
    <row r="751" spans="1:3" x14ac:dyDescent="0.25">
      <c r="A751" s="18">
        <v>54169</v>
      </c>
      <c r="C751" s="18">
        <v>58562</v>
      </c>
    </row>
    <row r="752" spans="1:3" x14ac:dyDescent="0.25">
      <c r="A752" s="18">
        <v>54179</v>
      </c>
      <c r="C752" s="18">
        <v>58609</v>
      </c>
    </row>
    <row r="753" spans="1:3" x14ac:dyDescent="0.25">
      <c r="A753" s="18">
        <v>54213</v>
      </c>
      <c r="C753" s="18">
        <v>58691</v>
      </c>
    </row>
    <row r="754" spans="1:3" x14ac:dyDescent="0.25">
      <c r="A754" s="18">
        <v>54308</v>
      </c>
      <c r="C754" s="18">
        <v>58726</v>
      </c>
    </row>
    <row r="755" spans="1:3" x14ac:dyDescent="0.25">
      <c r="A755" s="18">
        <v>54343</v>
      </c>
      <c r="C755" s="18">
        <v>58747</v>
      </c>
    </row>
    <row r="756" spans="1:3" x14ac:dyDescent="0.25">
      <c r="A756" s="18">
        <v>54364</v>
      </c>
      <c r="C756" s="18">
        <v>58760</v>
      </c>
    </row>
    <row r="757" spans="1:3" x14ac:dyDescent="0.25">
      <c r="A757" s="18">
        <v>54377</v>
      </c>
      <c r="C757" s="18">
        <v>58765</v>
      </c>
    </row>
    <row r="758" spans="1:3" x14ac:dyDescent="0.25">
      <c r="A758" s="18">
        <v>54382</v>
      </c>
      <c r="C758" s="18">
        <v>58800</v>
      </c>
    </row>
    <row r="759" spans="1:3" x14ac:dyDescent="0.25">
      <c r="A759" s="18">
        <v>54416</v>
      </c>
      <c r="C759" s="18">
        <v>58807</v>
      </c>
    </row>
    <row r="760" spans="1:3" x14ac:dyDescent="0.25">
      <c r="A760" s="18">
        <v>54417</v>
      </c>
      <c r="C760" s="18">
        <v>58858</v>
      </c>
    </row>
    <row r="761" spans="1:3" x14ac:dyDescent="0.25">
      <c r="A761" s="18">
        <v>54423</v>
      </c>
      <c r="C761" s="18">
        <v>58859</v>
      </c>
    </row>
    <row r="762" spans="1:3" x14ac:dyDescent="0.25">
      <c r="A762" s="18">
        <v>54424</v>
      </c>
      <c r="C762" s="18">
        <v>58904</v>
      </c>
    </row>
    <row r="763" spans="1:3" x14ac:dyDescent="0.25">
      <c r="A763" s="18">
        <v>54483</v>
      </c>
      <c r="C763" s="18">
        <v>58917</v>
      </c>
    </row>
    <row r="764" spans="1:3" x14ac:dyDescent="0.25">
      <c r="A764" s="18">
        <v>54484</v>
      </c>
      <c r="C764" s="18">
        <v>58927</v>
      </c>
    </row>
    <row r="765" spans="1:3" x14ac:dyDescent="0.25">
      <c r="A765" s="18">
        <v>54529</v>
      </c>
      <c r="C765" s="18">
        <v>58966</v>
      </c>
    </row>
    <row r="766" spans="1:3" x14ac:dyDescent="0.25">
      <c r="A766" s="18">
        <v>54534</v>
      </c>
      <c r="C766" s="18">
        <v>59056</v>
      </c>
    </row>
    <row r="767" spans="1:3" x14ac:dyDescent="0.25">
      <c r="A767" s="18">
        <v>54544</v>
      </c>
      <c r="C767" s="18">
        <v>59091</v>
      </c>
    </row>
    <row r="768" spans="1:3" x14ac:dyDescent="0.25">
      <c r="A768" s="18">
        <v>54591</v>
      </c>
      <c r="C768" s="18">
        <v>59112</v>
      </c>
    </row>
    <row r="769" spans="1:3" x14ac:dyDescent="0.25">
      <c r="A769" s="18">
        <v>54673</v>
      </c>
      <c r="C769" s="18">
        <v>59125</v>
      </c>
    </row>
    <row r="770" spans="1:3" x14ac:dyDescent="0.25">
      <c r="A770" s="18">
        <v>54708</v>
      </c>
      <c r="C770" s="18">
        <v>59130</v>
      </c>
    </row>
    <row r="771" spans="1:3" x14ac:dyDescent="0.25">
      <c r="A771" s="18">
        <v>54729</v>
      </c>
      <c r="C771" s="18">
        <v>59165</v>
      </c>
    </row>
    <row r="772" spans="1:3" x14ac:dyDescent="0.25">
      <c r="A772" s="18">
        <v>54742</v>
      </c>
      <c r="C772" s="18">
        <v>59172</v>
      </c>
    </row>
    <row r="773" spans="1:3" x14ac:dyDescent="0.25">
      <c r="A773" s="18">
        <v>54747</v>
      </c>
      <c r="C773" s="18">
        <v>59208</v>
      </c>
    </row>
    <row r="774" spans="1:3" x14ac:dyDescent="0.25">
      <c r="A774" s="18">
        <v>54781</v>
      </c>
      <c r="C774" s="18">
        <v>59209</v>
      </c>
    </row>
    <row r="775" spans="1:3" x14ac:dyDescent="0.25">
      <c r="A775" s="18">
        <v>54782</v>
      </c>
      <c r="C775" s="18">
        <v>59254</v>
      </c>
    </row>
    <row r="776" spans="1:3" x14ac:dyDescent="0.25">
      <c r="A776" s="18">
        <v>54788</v>
      </c>
      <c r="C776" s="18">
        <v>59282</v>
      </c>
    </row>
    <row r="777" spans="1:3" x14ac:dyDescent="0.25">
      <c r="A777" s="18">
        <v>54789</v>
      </c>
      <c r="C777" s="18">
        <v>59292</v>
      </c>
    </row>
    <row r="778" spans="1:3" x14ac:dyDescent="0.25">
      <c r="A778" s="18">
        <v>54840</v>
      </c>
      <c r="C778" s="18">
        <v>59316</v>
      </c>
    </row>
    <row r="779" spans="1:3" x14ac:dyDescent="0.25">
      <c r="A779" s="18">
        <v>54841</v>
      </c>
      <c r="C779" s="18">
        <v>59421</v>
      </c>
    </row>
    <row r="780" spans="1:3" x14ac:dyDescent="0.25">
      <c r="A780" s="18">
        <v>54886</v>
      </c>
      <c r="C780" s="18">
        <v>59456</v>
      </c>
    </row>
    <row r="781" spans="1:3" x14ac:dyDescent="0.25">
      <c r="A781" s="18">
        <v>54899</v>
      </c>
      <c r="C781" s="18">
        <v>59477</v>
      </c>
    </row>
    <row r="782" spans="1:3" x14ac:dyDescent="0.25">
      <c r="A782" s="18">
        <v>54909</v>
      </c>
      <c r="C782" s="18">
        <v>59490</v>
      </c>
    </row>
    <row r="783" spans="1:3" x14ac:dyDescent="0.25">
      <c r="A783" s="18">
        <v>54948</v>
      </c>
      <c r="C783" s="18">
        <v>59495</v>
      </c>
    </row>
    <row r="784" spans="1:3" x14ac:dyDescent="0.25">
      <c r="A784" s="18">
        <v>55038</v>
      </c>
      <c r="C784" s="18">
        <v>59530</v>
      </c>
    </row>
    <row r="785" spans="1:3" x14ac:dyDescent="0.25">
      <c r="A785" s="18">
        <v>55073</v>
      </c>
      <c r="C785" s="18">
        <v>59537</v>
      </c>
    </row>
    <row r="786" spans="1:3" x14ac:dyDescent="0.25">
      <c r="A786" s="18">
        <v>55094</v>
      </c>
      <c r="C786" s="18">
        <v>59593</v>
      </c>
    </row>
    <row r="787" spans="1:3" x14ac:dyDescent="0.25">
      <c r="A787" s="18">
        <v>55107</v>
      </c>
      <c r="C787" s="18">
        <v>59594</v>
      </c>
    </row>
    <row r="788" spans="1:3" x14ac:dyDescent="0.25">
      <c r="A788" s="18">
        <v>55112</v>
      </c>
      <c r="C788" s="18">
        <v>59639</v>
      </c>
    </row>
    <row r="789" spans="1:3" x14ac:dyDescent="0.25">
      <c r="A789" s="18">
        <v>55146</v>
      </c>
      <c r="C789" s="18">
        <v>59647</v>
      </c>
    </row>
    <row r="790" spans="1:3" x14ac:dyDescent="0.25">
      <c r="A790" s="18">
        <v>55147</v>
      </c>
      <c r="C790" s="18">
        <v>59657</v>
      </c>
    </row>
    <row r="791" spans="1:3" x14ac:dyDescent="0.25">
      <c r="A791" s="18">
        <v>55153</v>
      </c>
      <c r="C791" s="18">
        <v>59701</v>
      </c>
    </row>
    <row r="792" spans="1:3" x14ac:dyDescent="0.25">
      <c r="A792" s="18">
        <v>55154</v>
      </c>
      <c r="C792" s="18">
        <v>59786</v>
      </c>
    </row>
    <row r="793" spans="1:3" x14ac:dyDescent="0.25">
      <c r="A793" s="18">
        <v>55197</v>
      </c>
      <c r="C793" s="18">
        <v>59821</v>
      </c>
    </row>
    <row r="794" spans="1:3" x14ac:dyDescent="0.25">
      <c r="A794" s="18">
        <v>55198</v>
      </c>
      <c r="C794" s="18">
        <v>59842</v>
      </c>
    </row>
    <row r="795" spans="1:3" x14ac:dyDescent="0.25">
      <c r="A795" s="18">
        <v>55243</v>
      </c>
      <c r="C795" s="18">
        <v>59855</v>
      </c>
    </row>
    <row r="796" spans="1:3" x14ac:dyDescent="0.25">
      <c r="A796" s="18">
        <v>55264</v>
      </c>
      <c r="C796" s="18">
        <v>59860</v>
      </c>
    </row>
    <row r="797" spans="1:3" x14ac:dyDescent="0.25">
      <c r="A797" s="18">
        <v>55274</v>
      </c>
      <c r="C797" s="18">
        <v>59895</v>
      </c>
    </row>
    <row r="798" spans="1:3" x14ac:dyDescent="0.25">
      <c r="A798" s="18">
        <v>55305</v>
      </c>
      <c r="C798" s="18">
        <v>59902</v>
      </c>
    </row>
    <row r="799" spans="1:3" x14ac:dyDescent="0.25">
      <c r="A799" s="18">
        <v>55403</v>
      </c>
      <c r="C799" s="18">
        <v>59950</v>
      </c>
    </row>
    <row r="800" spans="1:3" x14ac:dyDescent="0.25">
      <c r="A800" s="18">
        <v>55438</v>
      </c>
      <c r="C800" s="18">
        <v>59951</v>
      </c>
    </row>
    <row r="801" spans="1:3" x14ac:dyDescent="0.25">
      <c r="A801" s="18">
        <v>55459</v>
      </c>
      <c r="C801" s="18">
        <v>59996</v>
      </c>
    </row>
    <row r="802" spans="1:3" x14ac:dyDescent="0.25">
      <c r="A802" s="18">
        <v>55472</v>
      </c>
      <c r="C802" s="18">
        <v>60013</v>
      </c>
    </row>
    <row r="803" spans="1:3" x14ac:dyDescent="0.25">
      <c r="A803" s="18">
        <v>55477</v>
      </c>
      <c r="C803" s="18">
        <v>60023</v>
      </c>
    </row>
    <row r="804" spans="1:3" x14ac:dyDescent="0.25">
      <c r="A804" s="18">
        <v>55511</v>
      </c>
      <c r="C804" s="18">
        <v>60058</v>
      </c>
    </row>
    <row r="805" spans="1:3" x14ac:dyDescent="0.25">
      <c r="A805" s="18">
        <v>55512</v>
      </c>
      <c r="C805" s="18">
        <v>60152</v>
      </c>
    </row>
    <row r="806" spans="1:3" x14ac:dyDescent="0.25">
      <c r="A806" s="18">
        <v>55518</v>
      </c>
      <c r="C806" s="18">
        <v>60187</v>
      </c>
    </row>
    <row r="807" spans="1:3" x14ac:dyDescent="0.25">
      <c r="A807" s="18">
        <v>55519</v>
      </c>
      <c r="C807" s="18">
        <v>60208</v>
      </c>
    </row>
    <row r="808" spans="1:3" x14ac:dyDescent="0.25">
      <c r="A808" s="18">
        <v>55582</v>
      </c>
      <c r="C808" s="18">
        <v>60221</v>
      </c>
    </row>
    <row r="809" spans="1:3" x14ac:dyDescent="0.25">
      <c r="A809" s="18">
        <v>55583</v>
      </c>
      <c r="C809" s="18">
        <v>60226</v>
      </c>
    </row>
    <row r="810" spans="1:3" x14ac:dyDescent="0.25">
      <c r="A810" s="18">
        <v>55628</v>
      </c>
      <c r="C810" s="18">
        <v>60261</v>
      </c>
    </row>
    <row r="811" spans="1:3" x14ac:dyDescent="0.25">
      <c r="A811" s="18">
        <v>55630</v>
      </c>
      <c r="C811" s="18">
        <v>60268</v>
      </c>
    </row>
    <row r="812" spans="1:3" x14ac:dyDescent="0.25">
      <c r="A812" s="18">
        <v>55640</v>
      </c>
      <c r="C812" s="18">
        <v>60307</v>
      </c>
    </row>
    <row r="813" spans="1:3" x14ac:dyDescent="0.25">
      <c r="A813" s="18">
        <v>55690</v>
      </c>
      <c r="C813" s="18">
        <v>60308</v>
      </c>
    </row>
    <row r="814" spans="1:3" x14ac:dyDescent="0.25">
      <c r="A814" s="18">
        <v>55769</v>
      </c>
      <c r="C814" s="18">
        <v>60353</v>
      </c>
    </row>
    <row r="815" spans="1:3" x14ac:dyDescent="0.25">
      <c r="A815" s="18">
        <v>55804</v>
      </c>
      <c r="C815" s="18">
        <v>60378</v>
      </c>
    </row>
    <row r="816" spans="1:3" x14ac:dyDescent="0.25">
      <c r="A816" s="18">
        <v>55825</v>
      </c>
      <c r="C816" s="18">
        <v>60388</v>
      </c>
    </row>
    <row r="817" spans="1:3" x14ac:dyDescent="0.25">
      <c r="A817" s="18">
        <v>55838</v>
      </c>
      <c r="C817" s="18">
        <v>60415</v>
      </c>
    </row>
    <row r="818" spans="1:3" x14ac:dyDescent="0.25">
      <c r="A818" s="18">
        <v>55843</v>
      </c>
      <c r="C818" s="18">
        <v>60517</v>
      </c>
    </row>
    <row r="819" spans="1:3" x14ac:dyDescent="0.25">
      <c r="A819" s="18">
        <v>55877</v>
      </c>
      <c r="C819" s="18">
        <v>60552</v>
      </c>
    </row>
    <row r="820" spans="1:3" x14ac:dyDescent="0.25">
      <c r="A820" s="18">
        <v>55878</v>
      </c>
      <c r="C820" s="18">
        <v>60573</v>
      </c>
    </row>
    <row r="821" spans="1:3" x14ac:dyDescent="0.25">
      <c r="A821" s="18">
        <v>55884</v>
      </c>
      <c r="C821" s="18">
        <v>60586</v>
      </c>
    </row>
    <row r="822" spans="1:3" x14ac:dyDescent="0.25">
      <c r="A822" s="18">
        <v>55885</v>
      </c>
      <c r="C822" s="18">
        <v>60591</v>
      </c>
    </row>
    <row r="823" spans="1:3" x14ac:dyDescent="0.25">
      <c r="A823" s="18">
        <v>55932</v>
      </c>
      <c r="C823" s="18">
        <v>60626</v>
      </c>
    </row>
    <row r="824" spans="1:3" x14ac:dyDescent="0.25">
      <c r="A824" s="18">
        <v>55933</v>
      </c>
      <c r="C824" s="18">
        <v>60633</v>
      </c>
    </row>
    <row r="825" spans="1:3" x14ac:dyDescent="0.25">
      <c r="A825" s="18">
        <v>55978</v>
      </c>
      <c r="C825" s="18">
        <v>60685</v>
      </c>
    </row>
    <row r="826" spans="1:3" x14ac:dyDescent="0.25">
      <c r="A826" s="18">
        <v>55995</v>
      </c>
      <c r="C826" s="18">
        <v>60686</v>
      </c>
    </row>
    <row r="827" spans="1:3" x14ac:dyDescent="0.25">
      <c r="A827" s="18">
        <v>56005</v>
      </c>
      <c r="C827" s="18">
        <v>60731</v>
      </c>
    </row>
    <row r="828" spans="1:3" x14ac:dyDescent="0.25">
      <c r="A828" s="18">
        <v>56040</v>
      </c>
      <c r="C828" s="18">
        <v>60743</v>
      </c>
    </row>
    <row r="829" spans="1:3" x14ac:dyDescent="0.25">
      <c r="A829" s="18">
        <v>56134</v>
      </c>
      <c r="C829" s="18">
        <v>60753</v>
      </c>
    </row>
    <row r="830" spans="1:3" x14ac:dyDescent="0.25">
      <c r="A830" s="18">
        <v>56169</v>
      </c>
      <c r="C830" s="18">
        <v>60793</v>
      </c>
    </row>
    <row r="831" spans="1:3" x14ac:dyDescent="0.25">
      <c r="A831" s="18">
        <v>56190</v>
      </c>
      <c r="C831" s="18">
        <v>60882</v>
      </c>
    </row>
    <row r="832" spans="1:3" x14ac:dyDescent="0.25">
      <c r="A832" s="18">
        <v>56203</v>
      </c>
      <c r="C832" s="18">
        <v>60917</v>
      </c>
    </row>
    <row r="833" spans="1:3" x14ac:dyDescent="0.25">
      <c r="A833" s="18">
        <v>56208</v>
      </c>
      <c r="C833" s="18">
        <v>60938</v>
      </c>
    </row>
    <row r="834" spans="1:3" x14ac:dyDescent="0.25">
      <c r="A834" s="18">
        <v>56242</v>
      </c>
      <c r="C834" s="18">
        <v>60951</v>
      </c>
    </row>
    <row r="835" spans="1:3" x14ac:dyDescent="0.25">
      <c r="A835" s="18">
        <v>56243</v>
      </c>
      <c r="C835" s="18">
        <v>60956</v>
      </c>
    </row>
    <row r="836" spans="1:3" x14ac:dyDescent="0.25">
      <c r="A836" s="18">
        <v>56249</v>
      </c>
      <c r="C836" s="18">
        <v>60991</v>
      </c>
    </row>
    <row r="837" spans="1:3" x14ac:dyDescent="0.25">
      <c r="A837" s="18">
        <v>56250</v>
      </c>
      <c r="C837" s="18">
        <v>60998</v>
      </c>
    </row>
    <row r="838" spans="1:3" x14ac:dyDescent="0.25">
      <c r="A838" s="18">
        <v>56289</v>
      </c>
      <c r="C838" s="18">
        <v>61042</v>
      </c>
    </row>
    <row r="839" spans="1:3" x14ac:dyDescent="0.25">
      <c r="A839" s="18">
        <v>56290</v>
      </c>
      <c r="C839" s="18">
        <v>61043</v>
      </c>
    </row>
    <row r="840" spans="1:3" x14ac:dyDescent="0.25">
      <c r="A840" s="18">
        <v>56335</v>
      </c>
      <c r="C840" s="18">
        <v>61088</v>
      </c>
    </row>
    <row r="841" spans="1:3" x14ac:dyDescent="0.25">
      <c r="A841" s="18">
        <v>56360</v>
      </c>
      <c r="C841" s="18">
        <v>61108</v>
      </c>
    </row>
    <row r="842" spans="1:3" x14ac:dyDescent="0.25">
      <c r="A842" s="18">
        <v>56370</v>
      </c>
      <c r="C842" s="18">
        <v>61118</v>
      </c>
    </row>
    <row r="843" spans="1:3" x14ac:dyDescent="0.25">
      <c r="A843" s="18">
        <v>56397</v>
      </c>
      <c r="C843" s="18">
        <v>61150</v>
      </c>
    </row>
    <row r="844" spans="1:3" x14ac:dyDescent="0.25">
      <c r="A844" s="18">
        <v>56499</v>
      </c>
      <c r="C844" s="18">
        <v>61247</v>
      </c>
    </row>
    <row r="845" spans="1:3" x14ac:dyDescent="0.25">
      <c r="A845" s="18">
        <v>56534</v>
      </c>
      <c r="C845" s="18">
        <v>61282</v>
      </c>
    </row>
    <row r="846" spans="1:3" x14ac:dyDescent="0.25">
      <c r="A846" s="18">
        <v>56555</v>
      </c>
      <c r="C846" s="18">
        <v>61303</v>
      </c>
    </row>
    <row r="847" spans="1:3" x14ac:dyDescent="0.25">
      <c r="A847" s="18">
        <v>56568</v>
      </c>
      <c r="C847" s="18">
        <v>61316</v>
      </c>
    </row>
    <row r="848" spans="1:3" x14ac:dyDescent="0.25">
      <c r="A848" s="18">
        <v>56573</v>
      </c>
      <c r="C848" s="18">
        <v>61321</v>
      </c>
    </row>
    <row r="849" spans="1:3" x14ac:dyDescent="0.25">
      <c r="A849" s="18">
        <v>56607</v>
      </c>
      <c r="C849" s="18">
        <v>61356</v>
      </c>
    </row>
    <row r="850" spans="1:3" x14ac:dyDescent="0.25">
      <c r="A850" s="18">
        <v>56608</v>
      </c>
      <c r="C850" s="18">
        <v>61363</v>
      </c>
    </row>
    <row r="851" spans="1:3" x14ac:dyDescent="0.25">
      <c r="A851" s="18">
        <v>56614</v>
      </c>
      <c r="C851" s="18">
        <v>61427</v>
      </c>
    </row>
    <row r="852" spans="1:3" x14ac:dyDescent="0.25">
      <c r="A852" s="18">
        <v>56615</v>
      </c>
      <c r="C852" s="18">
        <v>61428</v>
      </c>
    </row>
    <row r="853" spans="1:3" x14ac:dyDescent="0.25">
      <c r="A853" s="18">
        <v>56674</v>
      </c>
      <c r="C853" s="18">
        <v>61473</v>
      </c>
    </row>
    <row r="854" spans="1:3" x14ac:dyDescent="0.25">
      <c r="A854" s="18">
        <v>56675</v>
      </c>
      <c r="C854" s="18">
        <v>61474</v>
      </c>
    </row>
    <row r="855" spans="1:3" x14ac:dyDescent="0.25">
      <c r="A855" s="18">
        <v>56720</v>
      </c>
      <c r="C855" s="18">
        <v>61484</v>
      </c>
    </row>
    <row r="856" spans="1:3" x14ac:dyDescent="0.25">
      <c r="A856" s="18">
        <v>56725</v>
      </c>
      <c r="C856" s="18">
        <v>61535</v>
      </c>
    </row>
    <row r="857" spans="1:3" x14ac:dyDescent="0.25">
      <c r="A857" s="18">
        <v>56735</v>
      </c>
      <c r="C857" s="18">
        <v>61613</v>
      </c>
    </row>
    <row r="858" spans="1:3" x14ac:dyDescent="0.25">
      <c r="A858" s="18">
        <v>56782</v>
      </c>
      <c r="C858" s="18">
        <v>61648</v>
      </c>
    </row>
    <row r="859" spans="1:3" x14ac:dyDescent="0.25">
      <c r="A859" s="18">
        <v>56864</v>
      </c>
      <c r="C859" s="18">
        <v>61669</v>
      </c>
    </row>
    <row r="860" spans="1:3" x14ac:dyDescent="0.25">
      <c r="A860" s="18">
        <v>56899</v>
      </c>
      <c r="C860" s="18">
        <v>61682</v>
      </c>
    </row>
    <row r="861" spans="1:3" x14ac:dyDescent="0.25">
      <c r="A861" s="18">
        <v>56920</v>
      </c>
      <c r="C861" s="18">
        <v>61687</v>
      </c>
    </row>
    <row r="862" spans="1:3" x14ac:dyDescent="0.25">
      <c r="A862" s="18">
        <v>56933</v>
      </c>
      <c r="C862" s="18">
        <v>61722</v>
      </c>
    </row>
    <row r="863" spans="1:3" x14ac:dyDescent="0.25">
      <c r="A863" s="18">
        <v>56938</v>
      </c>
      <c r="C863" s="18">
        <v>61729</v>
      </c>
    </row>
    <row r="864" spans="1:3" x14ac:dyDescent="0.25">
      <c r="A864" s="18">
        <v>56972</v>
      </c>
      <c r="C864" s="18">
        <v>61784</v>
      </c>
    </row>
    <row r="865" spans="1:3" x14ac:dyDescent="0.25">
      <c r="A865" s="18">
        <v>56973</v>
      </c>
      <c r="C865" s="18">
        <v>61785</v>
      </c>
    </row>
    <row r="866" spans="1:3" x14ac:dyDescent="0.25">
      <c r="A866" s="18">
        <v>56979</v>
      </c>
      <c r="C866" s="18">
        <v>61830</v>
      </c>
    </row>
    <row r="867" spans="1:3" x14ac:dyDescent="0.25">
      <c r="A867" s="18">
        <v>56980</v>
      </c>
      <c r="C867" s="18">
        <v>61839</v>
      </c>
    </row>
    <row r="868" spans="1:3" x14ac:dyDescent="0.25">
      <c r="A868" s="18">
        <v>57024</v>
      </c>
      <c r="C868" s="18">
        <v>61849</v>
      </c>
    </row>
    <row r="869" spans="1:3" x14ac:dyDescent="0.25">
      <c r="C869" s="18">
        <v>61892</v>
      </c>
    </row>
    <row r="870" spans="1:3" x14ac:dyDescent="0.25">
      <c r="C870" s="18">
        <v>61978</v>
      </c>
    </row>
    <row r="871" spans="1:3" x14ac:dyDescent="0.25">
      <c r="C871" s="18">
        <v>62013</v>
      </c>
    </row>
    <row r="872" spans="1:3" x14ac:dyDescent="0.25">
      <c r="C872" s="18">
        <v>62034</v>
      </c>
    </row>
    <row r="873" spans="1:3" x14ac:dyDescent="0.25">
      <c r="C873" s="18">
        <v>62047</v>
      </c>
    </row>
    <row r="874" spans="1:3" x14ac:dyDescent="0.25">
      <c r="C874" s="18">
        <v>62052</v>
      </c>
    </row>
    <row r="875" spans="1:3" x14ac:dyDescent="0.25">
      <c r="C875" s="18">
        <v>62087</v>
      </c>
    </row>
    <row r="876" spans="1:3" x14ac:dyDescent="0.25">
      <c r="C876" s="18">
        <v>62094</v>
      </c>
    </row>
    <row r="877" spans="1:3" x14ac:dyDescent="0.25">
      <c r="C877" s="18">
        <v>62134</v>
      </c>
    </row>
    <row r="878" spans="1:3" x14ac:dyDescent="0.25">
      <c r="C878" s="18">
        <v>62135</v>
      </c>
    </row>
    <row r="879" spans="1:3" x14ac:dyDescent="0.25">
      <c r="C879" s="18">
        <v>62180</v>
      </c>
    </row>
    <row r="880" spans="1:3" x14ac:dyDescent="0.25">
      <c r="C880" s="18">
        <v>62204</v>
      </c>
    </row>
    <row r="881" spans="3:3" x14ac:dyDescent="0.25">
      <c r="C881" s="18">
        <v>62214</v>
      </c>
    </row>
    <row r="882" spans="3:3" x14ac:dyDescent="0.25">
      <c r="C882" s="18">
        <v>62242</v>
      </c>
    </row>
    <row r="883" spans="3:3" x14ac:dyDescent="0.25">
      <c r="C883" s="18">
        <v>62343</v>
      </c>
    </row>
    <row r="884" spans="3:3" x14ac:dyDescent="0.25">
      <c r="C884" s="18">
        <v>62378</v>
      </c>
    </row>
    <row r="885" spans="3:3" x14ac:dyDescent="0.25">
      <c r="C885" s="18">
        <v>62399</v>
      </c>
    </row>
    <row r="886" spans="3:3" x14ac:dyDescent="0.25">
      <c r="C886" s="18">
        <v>62412</v>
      </c>
    </row>
    <row r="887" spans="3:3" x14ac:dyDescent="0.25">
      <c r="C887" s="18">
        <v>62417</v>
      </c>
    </row>
    <row r="888" spans="3:3" x14ac:dyDescent="0.25">
      <c r="C888" s="18">
        <v>62452</v>
      </c>
    </row>
    <row r="889" spans="3:3" x14ac:dyDescent="0.25">
      <c r="C889" s="18">
        <v>62459</v>
      </c>
    </row>
    <row r="890" spans="3:3" x14ac:dyDescent="0.25">
      <c r="C890" s="18">
        <v>62519</v>
      </c>
    </row>
    <row r="891" spans="3:3" x14ac:dyDescent="0.25">
      <c r="C891" s="18">
        <v>62520</v>
      </c>
    </row>
    <row r="892" spans="3:3" x14ac:dyDescent="0.25">
      <c r="C892" s="18">
        <v>62565</v>
      </c>
    </row>
    <row r="893" spans="3:3" x14ac:dyDescent="0.25">
      <c r="C893" s="18">
        <v>62569</v>
      </c>
    </row>
    <row r="894" spans="3:3" x14ac:dyDescent="0.25">
      <c r="C894" s="18">
        <v>62579</v>
      </c>
    </row>
    <row r="895" spans="3:3" x14ac:dyDescent="0.25">
      <c r="C895" s="18">
        <v>62627</v>
      </c>
    </row>
    <row r="896" spans="3:3" x14ac:dyDescent="0.25">
      <c r="C896" s="18">
        <v>62708</v>
      </c>
    </row>
    <row r="897" spans="3:3" x14ac:dyDescent="0.25">
      <c r="C897" s="18">
        <v>62743</v>
      </c>
    </row>
    <row r="898" spans="3:3" x14ac:dyDescent="0.25">
      <c r="C898" s="18">
        <v>62764</v>
      </c>
    </row>
    <row r="899" spans="3:3" x14ac:dyDescent="0.25">
      <c r="C899" s="18">
        <v>62777</v>
      </c>
    </row>
    <row r="900" spans="3:3" x14ac:dyDescent="0.25">
      <c r="C900" s="18">
        <v>62782</v>
      </c>
    </row>
    <row r="901" spans="3:3" x14ac:dyDescent="0.25">
      <c r="C901" s="18">
        <v>62817</v>
      </c>
    </row>
    <row r="902" spans="3:3" x14ac:dyDescent="0.25">
      <c r="C902" s="18">
        <v>62824</v>
      </c>
    </row>
    <row r="903" spans="3:3" x14ac:dyDescent="0.25">
      <c r="C903" s="18">
        <v>62876</v>
      </c>
    </row>
    <row r="904" spans="3:3" x14ac:dyDescent="0.25">
      <c r="C904" s="18">
        <v>62877</v>
      </c>
    </row>
    <row r="905" spans="3:3" x14ac:dyDescent="0.25">
      <c r="C905" s="18">
        <v>62922</v>
      </c>
    </row>
    <row r="906" spans="3:3" x14ac:dyDescent="0.25">
      <c r="C906" s="18">
        <v>62935</v>
      </c>
    </row>
    <row r="907" spans="3:3" x14ac:dyDescent="0.25">
      <c r="C907" s="18">
        <v>62945</v>
      </c>
    </row>
    <row r="908" spans="3:3" x14ac:dyDescent="0.25">
      <c r="C908" s="18">
        <v>62984</v>
      </c>
    </row>
    <row r="909" spans="3:3" x14ac:dyDescent="0.25">
      <c r="C909" s="18">
        <v>63074</v>
      </c>
    </row>
    <row r="910" spans="3:3" x14ac:dyDescent="0.25">
      <c r="C910" s="18">
        <v>63109</v>
      </c>
    </row>
    <row r="911" spans="3:3" x14ac:dyDescent="0.25">
      <c r="C911" s="18">
        <v>63130</v>
      </c>
    </row>
    <row r="912" spans="3:3" x14ac:dyDescent="0.25">
      <c r="C912" s="18">
        <v>63143</v>
      </c>
    </row>
    <row r="913" spans="3:3" x14ac:dyDescent="0.25">
      <c r="C913" s="18">
        <v>63148</v>
      </c>
    </row>
    <row r="914" spans="3:3" x14ac:dyDescent="0.25">
      <c r="C914" s="18">
        <v>63183</v>
      </c>
    </row>
    <row r="915" spans="3:3" x14ac:dyDescent="0.25">
      <c r="C915" s="18">
        <v>63190</v>
      </c>
    </row>
    <row r="916" spans="3:3" x14ac:dyDescent="0.25">
      <c r="C916" s="18">
        <v>63226</v>
      </c>
    </row>
    <row r="917" spans="3:3" x14ac:dyDescent="0.25">
      <c r="C917" s="18">
        <v>63227</v>
      </c>
    </row>
    <row r="918" spans="3:3" x14ac:dyDescent="0.25">
      <c r="C918" s="18">
        <v>63272</v>
      </c>
    </row>
    <row r="919" spans="3:3" x14ac:dyDescent="0.25">
      <c r="C919" s="18">
        <v>63300</v>
      </c>
    </row>
    <row r="920" spans="3:3" x14ac:dyDescent="0.25">
      <c r="C920" s="18">
        <v>63310</v>
      </c>
    </row>
    <row r="921" spans="3:3" x14ac:dyDescent="0.25">
      <c r="C921" s="18">
        <v>63334</v>
      </c>
    </row>
    <row r="922" spans="3:3" x14ac:dyDescent="0.25">
      <c r="C922" s="18">
        <v>63439</v>
      </c>
    </row>
    <row r="923" spans="3:3" x14ac:dyDescent="0.25">
      <c r="C923" s="18">
        <v>63474</v>
      </c>
    </row>
    <row r="924" spans="3:3" x14ac:dyDescent="0.25">
      <c r="C924" s="18">
        <v>63495</v>
      </c>
    </row>
    <row r="925" spans="3:3" x14ac:dyDescent="0.25">
      <c r="C925" s="18">
        <v>63508</v>
      </c>
    </row>
    <row r="926" spans="3:3" x14ac:dyDescent="0.25">
      <c r="C926" s="18">
        <v>63513</v>
      </c>
    </row>
    <row r="927" spans="3:3" x14ac:dyDescent="0.25">
      <c r="C927" s="18">
        <v>63548</v>
      </c>
    </row>
    <row r="928" spans="3:3" x14ac:dyDescent="0.25">
      <c r="C928" s="18">
        <v>63555</v>
      </c>
    </row>
    <row r="929" spans="3:3" x14ac:dyDescent="0.25">
      <c r="C929" s="18">
        <v>63611</v>
      </c>
    </row>
    <row r="930" spans="3:3" x14ac:dyDescent="0.25">
      <c r="C930" s="18">
        <v>63612</v>
      </c>
    </row>
    <row r="931" spans="3:3" x14ac:dyDescent="0.25">
      <c r="C931" s="18">
        <v>63657</v>
      </c>
    </row>
    <row r="932" spans="3:3" x14ac:dyDescent="0.25">
      <c r="C932" s="18">
        <v>63665</v>
      </c>
    </row>
    <row r="933" spans="3:3" x14ac:dyDescent="0.25">
      <c r="C933" s="18">
        <v>63675</v>
      </c>
    </row>
    <row r="934" spans="3:3" x14ac:dyDescent="0.25">
      <c r="C934" s="18">
        <v>63719</v>
      </c>
    </row>
    <row r="935" spans="3:3" x14ac:dyDescent="0.25">
      <c r="C935" s="18">
        <v>63804</v>
      </c>
    </row>
    <row r="936" spans="3:3" x14ac:dyDescent="0.25">
      <c r="C936" s="18">
        <v>63839</v>
      </c>
    </row>
    <row r="937" spans="3:3" x14ac:dyDescent="0.25">
      <c r="C937" s="18">
        <v>63860</v>
      </c>
    </row>
    <row r="938" spans="3:3" x14ac:dyDescent="0.25">
      <c r="C938" s="18">
        <v>63873</v>
      </c>
    </row>
    <row r="939" spans="3:3" x14ac:dyDescent="0.25">
      <c r="C939" s="18">
        <v>63878</v>
      </c>
    </row>
    <row r="940" spans="3:3" x14ac:dyDescent="0.25">
      <c r="C940" s="18">
        <v>63913</v>
      </c>
    </row>
    <row r="941" spans="3:3" x14ac:dyDescent="0.25">
      <c r="C941" s="18">
        <v>63920</v>
      </c>
    </row>
    <row r="942" spans="3:3" x14ac:dyDescent="0.25">
      <c r="C942" s="18">
        <v>63968</v>
      </c>
    </row>
    <row r="943" spans="3:3" x14ac:dyDescent="0.25">
      <c r="C943" s="18">
        <v>63969</v>
      </c>
    </row>
    <row r="944" spans="3:3" x14ac:dyDescent="0.25">
      <c r="C944" s="18">
        <v>64014</v>
      </c>
    </row>
    <row r="945" spans="3:3" x14ac:dyDescent="0.25">
      <c r="C945" s="18">
        <v>64030</v>
      </c>
    </row>
    <row r="946" spans="3:3" x14ac:dyDescent="0.25">
      <c r="C946" s="18">
        <v>64040</v>
      </c>
    </row>
    <row r="947" spans="3:3" x14ac:dyDescent="0.25">
      <c r="C947" s="18">
        <v>64076</v>
      </c>
    </row>
    <row r="948" spans="3:3" x14ac:dyDescent="0.25">
      <c r="C948" s="18">
        <v>64169</v>
      </c>
    </row>
    <row r="949" spans="3:3" x14ac:dyDescent="0.25">
      <c r="C949" s="18">
        <v>64204</v>
      </c>
    </row>
    <row r="950" spans="3:3" x14ac:dyDescent="0.25">
      <c r="C950" s="18">
        <v>64225</v>
      </c>
    </row>
    <row r="951" spans="3:3" x14ac:dyDescent="0.25">
      <c r="C951" s="18">
        <v>64238</v>
      </c>
    </row>
    <row r="952" spans="3:3" x14ac:dyDescent="0.25">
      <c r="C952" s="18">
        <v>64243</v>
      </c>
    </row>
    <row r="953" spans="3:3" x14ac:dyDescent="0.25">
      <c r="C953" s="18">
        <v>64278</v>
      </c>
    </row>
    <row r="954" spans="3:3" x14ac:dyDescent="0.25">
      <c r="C954" s="18">
        <v>64285</v>
      </c>
    </row>
    <row r="955" spans="3:3" x14ac:dyDescent="0.25">
      <c r="C955" s="18">
        <v>64346</v>
      </c>
    </row>
    <row r="956" spans="3:3" x14ac:dyDescent="0.25">
      <c r="C956" s="18">
        <v>64347</v>
      </c>
    </row>
    <row r="957" spans="3:3" x14ac:dyDescent="0.25">
      <c r="C957" s="18">
        <v>64392</v>
      </c>
    </row>
    <row r="958" spans="3:3" x14ac:dyDescent="0.25">
      <c r="C958" s="18">
        <v>64396</v>
      </c>
    </row>
    <row r="959" spans="3:3" x14ac:dyDescent="0.25">
      <c r="C959" s="18">
        <v>64406</v>
      </c>
    </row>
    <row r="960" spans="3:3" x14ac:dyDescent="0.25">
      <c r="C960" s="18">
        <v>64454</v>
      </c>
    </row>
    <row r="961" spans="3:3" x14ac:dyDescent="0.25">
      <c r="C961" s="18">
        <v>64535</v>
      </c>
    </row>
    <row r="962" spans="3:3" x14ac:dyDescent="0.25">
      <c r="C962" s="18">
        <v>64570</v>
      </c>
    </row>
    <row r="963" spans="3:3" x14ac:dyDescent="0.25">
      <c r="C963" s="18">
        <v>64591</v>
      </c>
    </row>
    <row r="964" spans="3:3" x14ac:dyDescent="0.25">
      <c r="C964" s="18">
        <v>64604</v>
      </c>
    </row>
    <row r="965" spans="3:3" x14ac:dyDescent="0.25">
      <c r="C965" s="18">
        <v>64609</v>
      </c>
    </row>
    <row r="966" spans="3:3" x14ac:dyDescent="0.25">
      <c r="C966" s="18">
        <v>64644</v>
      </c>
    </row>
    <row r="967" spans="3:3" x14ac:dyDescent="0.25">
      <c r="C967" s="18">
        <v>64651</v>
      </c>
    </row>
    <row r="968" spans="3:3" x14ac:dyDescent="0.25">
      <c r="C968" s="18">
        <v>64703</v>
      </c>
    </row>
    <row r="969" spans="3:3" x14ac:dyDescent="0.25">
      <c r="C969" s="18">
        <v>64704</v>
      </c>
    </row>
    <row r="970" spans="3:3" x14ac:dyDescent="0.25">
      <c r="C970" s="18">
        <v>64749</v>
      </c>
    </row>
    <row r="971" spans="3:3" x14ac:dyDescent="0.25">
      <c r="C971" s="18">
        <v>64761</v>
      </c>
    </row>
    <row r="972" spans="3:3" x14ac:dyDescent="0.25">
      <c r="C972" s="18">
        <v>64771</v>
      </c>
    </row>
    <row r="973" spans="3:3" x14ac:dyDescent="0.25">
      <c r="C973" s="18">
        <v>64811</v>
      </c>
    </row>
    <row r="974" spans="3:3" x14ac:dyDescent="0.25">
      <c r="C974" s="18">
        <v>64900</v>
      </c>
    </row>
    <row r="975" spans="3:3" x14ac:dyDescent="0.25">
      <c r="C975" s="18">
        <v>64935</v>
      </c>
    </row>
    <row r="976" spans="3:3" x14ac:dyDescent="0.25">
      <c r="C976" s="18">
        <v>64956</v>
      </c>
    </row>
    <row r="977" spans="3:3" x14ac:dyDescent="0.25">
      <c r="C977" s="18">
        <v>64969</v>
      </c>
    </row>
    <row r="978" spans="3:3" x14ac:dyDescent="0.25">
      <c r="C978" s="18">
        <v>64974</v>
      </c>
    </row>
    <row r="979" spans="3:3" x14ac:dyDescent="0.25">
      <c r="C979" s="18">
        <v>65009</v>
      </c>
    </row>
    <row r="980" spans="3:3" x14ac:dyDescent="0.25">
      <c r="C980" s="18">
        <v>65016</v>
      </c>
    </row>
    <row r="981" spans="3:3" x14ac:dyDescent="0.25">
      <c r="C981" s="18">
        <v>65060</v>
      </c>
    </row>
    <row r="982" spans="3:3" x14ac:dyDescent="0.25">
      <c r="C982" s="18">
        <v>65061</v>
      </c>
    </row>
    <row r="983" spans="3:3" x14ac:dyDescent="0.25">
      <c r="C983" s="18">
        <v>65106</v>
      </c>
    </row>
    <row r="984" spans="3:3" x14ac:dyDescent="0.25">
      <c r="C984" s="18">
        <v>65126</v>
      </c>
    </row>
    <row r="985" spans="3:3" x14ac:dyDescent="0.25">
      <c r="C985" s="18">
        <v>65136</v>
      </c>
    </row>
    <row r="986" spans="3:3" x14ac:dyDescent="0.25">
      <c r="C986" s="18">
        <v>65168</v>
      </c>
    </row>
    <row r="987" spans="3:3" x14ac:dyDescent="0.25">
      <c r="C987" s="18">
        <v>65265</v>
      </c>
    </row>
    <row r="988" spans="3:3" x14ac:dyDescent="0.25">
      <c r="C988" s="18">
        <v>65300</v>
      </c>
    </row>
    <row r="989" spans="3:3" x14ac:dyDescent="0.25">
      <c r="C989" s="18">
        <v>65321</v>
      </c>
    </row>
    <row r="990" spans="3:3" x14ac:dyDescent="0.25">
      <c r="C990" s="18">
        <v>65334</v>
      </c>
    </row>
    <row r="991" spans="3:3" x14ac:dyDescent="0.25">
      <c r="C991" s="18">
        <v>65339</v>
      </c>
    </row>
    <row r="992" spans="3:3" x14ac:dyDescent="0.25">
      <c r="C992" s="18">
        <v>65374</v>
      </c>
    </row>
    <row r="993" spans="3:3" x14ac:dyDescent="0.25">
      <c r="C993" s="18">
        <v>65381</v>
      </c>
    </row>
    <row r="994" spans="3:3" x14ac:dyDescent="0.25">
      <c r="C994" s="18">
        <v>65445</v>
      </c>
    </row>
    <row r="995" spans="3:3" x14ac:dyDescent="0.25">
      <c r="C995" s="18">
        <v>65446</v>
      </c>
    </row>
    <row r="996" spans="3:3" x14ac:dyDescent="0.25">
      <c r="C996" s="18">
        <v>65491</v>
      </c>
    </row>
    <row r="997" spans="3:3" x14ac:dyDescent="0.25">
      <c r="C997" s="18">
        <v>65491</v>
      </c>
    </row>
    <row r="998" spans="3:3" x14ac:dyDescent="0.25">
      <c r="C998" s="18">
        <v>65501</v>
      </c>
    </row>
    <row r="999" spans="3:3" x14ac:dyDescent="0.25">
      <c r="C999" s="18">
        <v>65553</v>
      </c>
    </row>
    <row r="1000" spans="3:3" x14ac:dyDescent="0.25">
      <c r="C1000" s="18">
        <v>65630</v>
      </c>
    </row>
    <row r="1001" spans="3:3" x14ac:dyDescent="0.25">
      <c r="C1001" s="18">
        <v>65665</v>
      </c>
    </row>
    <row r="1002" spans="3:3" x14ac:dyDescent="0.25">
      <c r="C1002" s="18">
        <v>65686</v>
      </c>
    </row>
    <row r="1003" spans="3:3" x14ac:dyDescent="0.25">
      <c r="C1003" s="18">
        <v>65699</v>
      </c>
    </row>
    <row r="1004" spans="3:3" x14ac:dyDescent="0.25">
      <c r="C1004" s="18">
        <v>65704</v>
      </c>
    </row>
    <row r="1005" spans="3:3" x14ac:dyDescent="0.25">
      <c r="C1005" s="18">
        <v>65739</v>
      </c>
    </row>
    <row r="1006" spans="3:3" x14ac:dyDescent="0.25">
      <c r="C1006" s="18">
        <v>65746</v>
      </c>
    </row>
    <row r="1007" spans="3:3" x14ac:dyDescent="0.25">
      <c r="C1007" s="18">
        <v>65795</v>
      </c>
    </row>
    <row r="1008" spans="3:3" x14ac:dyDescent="0.25">
      <c r="C1008" s="18">
        <v>65796</v>
      </c>
    </row>
    <row r="1009" spans="3:3" x14ac:dyDescent="0.25">
      <c r="C1009" s="18">
        <v>65841</v>
      </c>
    </row>
    <row r="1010" spans="3:3" x14ac:dyDescent="0.25">
      <c r="C1010" s="18">
        <v>65857</v>
      </c>
    </row>
    <row r="1011" spans="3:3" x14ac:dyDescent="0.25">
      <c r="C1011" s="18">
        <v>65867</v>
      </c>
    </row>
    <row r="1012" spans="3:3" x14ac:dyDescent="0.25">
      <c r="C1012" s="18">
        <v>65903</v>
      </c>
    </row>
    <row r="1013" spans="3:3" x14ac:dyDescent="0.25">
      <c r="C1013" s="18">
        <v>65996</v>
      </c>
    </row>
    <row r="1014" spans="3:3" x14ac:dyDescent="0.25">
      <c r="C1014" s="18">
        <v>66031</v>
      </c>
    </row>
    <row r="1015" spans="3:3" x14ac:dyDescent="0.25">
      <c r="C1015" s="18">
        <v>66052</v>
      </c>
    </row>
    <row r="1016" spans="3:3" x14ac:dyDescent="0.25">
      <c r="C1016" s="18">
        <v>66065</v>
      </c>
    </row>
    <row r="1017" spans="3:3" x14ac:dyDescent="0.25">
      <c r="C1017" s="18">
        <v>66070</v>
      </c>
    </row>
    <row r="1018" spans="3:3" x14ac:dyDescent="0.25">
      <c r="C1018" s="18">
        <v>66105</v>
      </c>
    </row>
    <row r="1019" spans="3:3" x14ac:dyDescent="0.25">
      <c r="C1019" s="18">
        <v>66112</v>
      </c>
    </row>
    <row r="1020" spans="3:3" x14ac:dyDescent="0.25">
      <c r="C1020" s="18">
        <v>66152</v>
      </c>
    </row>
    <row r="1021" spans="3:3" x14ac:dyDescent="0.25">
      <c r="C1021" s="18">
        <v>66153</v>
      </c>
    </row>
    <row r="1022" spans="3:3" x14ac:dyDescent="0.25">
      <c r="C1022" s="18">
        <v>66198</v>
      </c>
    </row>
    <row r="1023" spans="3:3" x14ac:dyDescent="0.25">
      <c r="C1023" s="18">
        <v>66222</v>
      </c>
    </row>
    <row r="1024" spans="3:3" x14ac:dyDescent="0.25">
      <c r="C1024" s="18">
        <v>66232</v>
      </c>
    </row>
    <row r="1025" spans="3:3" x14ac:dyDescent="0.25">
      <c r="C1025" s="18">
        <v>66260</v>
      </c>
    </row>
    <row r="1026" spans="3:3" x14ac:dyDescent="0.25">
      <c r="C1026" s="18">
        <v>66361</v>
      </c>
    </row>
    <row r="1027" spans="3:3" x14ac:dyDescent="0.25">
      <c r="C1027" s="18">
        <v>66396</v>
      </c>
    </row>
    <row r="1028" spans="3:3" x14ac:dyDescent="0.25">
      <c r="C1028" s="18">
        <v>66417</v>
      </c>
    </row>
    <row r="1029" spans="3:3" x14ac:dyDescent="0.25">
      <c r="C1029" s="18">
        <v>66430</v>
      </c>
    </row>
    <row r="1030" spans="3:3" x14ac:dyDescent="0.25">
      <c r="C1030" s="18">
        <v>66435</v>
      </c>
    </row>
    <row r="1031" spans="3:3" x14ac:dyDescent="0.25">
      <c r="C1031" s="18">
        <v>66470</v>
      </c>
    </row>
    <row r="1032" spans="3:3" x14ac:dyDescent="0.25">
      <c r="C1032" s="18">
        <v>66477</v>
      </c>
    </row>
    <row r="1033" spans="3:3" x14ac:dyDescent="0.25">
      <c r="C1033" s="18">
        <v>66537</v>
      </c>
    </row>
    <row r="1034" spans="3:3" x14ac:dyDescent="0.25">
      <c r="C1034" s="18">
        <v>66538</v>
      </c>
    </row>
    <row r="1035" spans="3:3" x14ac:dyDescent="0.25">
      <c r="C1035" s="18">
        <v>66583</v>
      </c>
    </row>
    <row r="1036" spans="3:3" x14ac:dyDescent="0.25">
      <c r="C1036" s="18">
        <v>66587</v>
      </c>
    </row>
    <row r="1037" spans="3:3" x14ac:dyDescent="0.25">
      <c r="C1037" s="18">
        <v>66597</v>
      </c>
    </row>
    <row r="1038" spans="3:3" x14ac:dyDescent="0.25">
      <c r="C1038" s="18">
        <v>66645</v>
      </c>
    </row>
    <row r="1039" spans="3:3" x14ac:dyDescent="0.25">
      <c r="C1039" s="18">
        <v>66726</v>
      </c>
    </row>
    <row r="1040" spans="3:3" x14ac:dyDescent="0.25">
      <c r="C1040" s="18">
        <v>66761</v>
      </c>
    </row>
    <row r="1041" spans="3:3" x14ac:dyDescent="0.25">
      <c r="C1041" s="18">
        <v>66782</v>
      </c>
    </row>
    <row r="1042" spans="3:3" x14ac:dyDescent="0.25">
      <c r="C1042" s="18">
        <v>66795</v>
      </c>
    </row>
    <row r="1043" spans="3:3" x14ac:dyDescent="0.25">
      <c r="C1043" s="18">
        <v>66800</v>
      </c>
    </row>
    <row r="1044" spans="3:3" x14ac:dyDescent="0.25">
      <c r="C1044" s="18">
        <v>66835</v>
      </c>
    </row>
    <row r="1045" spans="3:3" x14ac:dyDescent="0.25">
      <c r="C1045" s="18">
        <v>66842</v>
      </c>
    </row>
    <row r="1046" spans="3:3" x14ac:dyDescent="0.25">
      <c r="C1046" s="18">
        <v>66887</v>
      </c>
    </row>
    <row r="1047" spans="3:3" x14ac:dyDescent="0.25">
      <c r="C1047" s="18">
        <v>66888</v>
      </c>
    </row>
    <row r="1048" spans="3:3" x14ac:dyDescent="0.25">
      <c r="C1048" s="18">
        <v>66933</v>
      </c>
    </row>
    <row r="1049" spans="3:3" x14ac:dyDescent="0.25">
      <c r="C1049" s="18">
        <v>66952</v>
      </c>
    </row>
    <row r="1050" spans="3:3" x14ac:dyDescent="0.25">
      <c r="C1050" s="18">
        <v>66962</v>
      </c>
    </row>
    <row r="1051" spans="3:3" x14ac:dyDescent="0.25">
      <c r="C1051" s="18">
        <v>66995</v>
      </c>
    </row>
    <row r="1052" spans="3:3" x14ac:dyDescent="0.25">
      <c r="C1052" s="18">
        <v>67091</v>
      </c>
    </row>
    <row r="1053" spans="3:3" x14ac:dyDescent="0.25">
      <c r="C1053" s="18">
        <v>67126</v>
      </c>
    </row>
    <row r="1054" spans="3:3" x14ac:dyDescent="0.25">
      <c r="C1054" s="18">
        <v>67147</v>
      </c>
    </row>
    <row r="1055" spans="3:3" x14ac:dyDescent="0.25">
      <c r="C1055" s="18">
        <v>67160</v>
      </c>
    </row>
    <row r="1056" spans="3:3" x14ac:dyDescent="0.25">
      <c r="C1056" s="18">
        <v>67165</v>
      </c>
    </row>
    <row r="1057" spans="3:3" x14ac:dyDescent="0.25">
      <c r="C1057" s="18">
        <v>67200</v>
      </c>
    </row>
    <row r="1058" spans="3:3" x14ac:dyDescent="0.25">
      <c r="C1058" s="18">
        <v>67207</v>
      </c>
    </row>
    <row r="1059" spans="3:3" x14ac:dyDescent="0.25">
      <c r="C1059" s="18">
        <v>67244</v>
      </c>
    </row>
    <row r="1060" spans="3:3" x14ac:dyDescent="0.25">
      <c r="C1060" s="18">
        <v>67245</v>
      </c>
    </row>
    <row r="1061" spans="3:3" x14ac:dyDescent="0.25">
      <c r="C1061" s="18">
        <v>67290</v>
      </c>
    </row>
    <row r="1062" spans="3:3" x14ac:dyDescent="0.25">
      <c r="C1062" s="18">
        <v>67318</v>
      </c>
    </row>
    <row r="1063" spans="3:3" x14ac:dyDescent="0.25">
      <c r="C1063" s="18">
        <v>67328</v>
      </c>
    </row>
    <row r="1064" spans="3:3" x14ac:dyDescent="0.25">
      <c r="C1064" s="18">
        <v>67352</v>
      </c>
    </row>
    <row r="1065" spans="3:3" x14ac:dyDescent="0.25">
      <c r="C1065" s="18">
        <v>67457</v>
      </c>
    </row>
    <row r="1066" spans="3:3" x14ac:dyDescent="0.25">
      <c r="C1066" s="18">
        <v>67492</v>
      </c>
    </row>
    <row r="1067" spans="3:3" x14ac:dyDescent="0.25">
      <c r="C1067" s="18">
        <v>67513</v>
      </c>
    </row>
    <row r="1068" spans="3:3" x14ac:dyDescent="0.25">
      <c r="C1068" s="18">
        <v>67526</v>
      </c>
    </row>
    <row r="1069" spans="3:3" x14ac:dyDescent="0.25">
      <c r="C1069" s="18">
        <v>67531</v>
      </c>
    </row>
    <row r="1070" spans="3:3" x14ac:dyDescent="0.25">
      <c r="C1070" s="18">
        <v>67566</v>
      </c>
    </row>
    <row r="1071" spans="3:3" x14ac:dyDescent="0.25">
      <c r="C1071" s="18">
        <v>67573</v>
      </c>
    </row>
    <row r="1072" spans="3:3" x14ac:dyDescent="0.25">
      <c r="C1072" s="18">
        <v>67629</v>
      </c>
    </row>
    <row r="1073" spans="3:3" x14ac:dyDescent="0.25">
      <c r="C1073" s="18">
        <v>67630</v>
      </c>
    </row>
    <row r="1074" spans="3:3" x14ac:dyDescent="0.25">
      <c r="C1074" s="18">
        <v>67675</v>
      </c>
    </row>
    <row r="1075" spans="3:3" x14ac:dyDescent="0.25">
      <c r="C1075" s="18">
        <v>67683</v>
      </c>
    </row>
    <row r="1076" spans="3:3" x14ac:dyDescent="0.25">
      <c r="C1076" s="18">
        <v>67693</v>
      </c>
    </row>
    <row r="1077" spans="3:3" x14ac:dyDescent="0.25">
      <c r="C1077" s="18">
        <v>67737</v>
      </c>
    </row>
    <row r="1078" spans="3:3" x14ac:dyDescent="0.25">
      <c r="C1078" s="18">
        <v>67822</v>
      </c>
    </row>
    <row r="1079" spans="3:3" x14ac:dyDescent="0.25">
      <c r="C1079" s="18">
        <v>67857</v>
      </c>
    </row>
    <row r="1080" spans="3:3" x14ac:dyDescent="0.25">
      <c r="C1080" s="18">
        <v>67878</v>
      </c>
    </row>
    <row r="1081" spans="3:3" x14ac:dyDescent="0.25">
      <c r="C1081" s="18">
        <v>67891</v>
      </c>
    </row>
    <row r="1082" spans="3:3" x14ac:dyDescent="0.25">
      <c r="C1082" s="18">
        <v>67896</v>
      </c>
    </row>
    <row r="1083" spans="3:3" x14ac:dyDescent="0.25">
      <c r="C1083" s="18">
        <v>67931</v>
      </c>
    </row>
    <row r="1084" spans="3:3" x14ac:dyDescent="0.25">
      <c r="C1084" s="18">
        <v>67938</v>
      </c>
    </row>
    <row r="1085" spans="3:3" x14ac:dyDescent="0.25">
      <c r="C1085" s="18">
        <v>67979</v>
      </c>
    </row>
    <row r="1086" spans="3:3" x14ac:dyDescent="0.25">
      <c r="C1086" s="18">
        <v>67980</v>
      </c>
    </row>
    <row r="1087" spans="3:3" x14ac:dyDescent="0.25">
      <c r="C1087" s="18">
        <v>68025</v>
      </c>
    </row>
    <row r="1088" spans="3:3" x14ac:dyDescent="0.25">
      <c r="C1088" s="18">
        <v>68048</v>
      </c>
    </row>
    <row r="1089" spans="3:3" x14ac:dyDescent="0.25">
      <c r="C1089" s="18">
        <v>68058</v>
      </c>
    </row>
    <row r="1090" spans="3:3" x14ac:dyDescent="0.25">
      <c r="C1090" s="18">
        <v>68087</v>
      </c>
    </row>
    <row r="1091" spans="3:3" x14ac:dyDescent="0.25">
      <c r="C1091" s="18">
        <v>68187</v>
      </c>
    </row>
    <row r="1092" spans="3:3" x14ac:dyDescent="0.25">
      <c r="C1092" s="18">
        <v>68222</v>
      </c>
    </row>
    <row r="1093" spans="3:3" x14ac:dyDescent="0.25">
      <c r="C1093" s="18">
        <v>68243</v>
      </c>
    </row>
    <row r="1094" spans="3:3" x14ac:dyDescent="0.25">
      <c r="C1094" s="18">
        <v>68256</v>
      </c>
    </row>
    <row r="1095" spans="3:3" x14ac:dyDescent="0.25">
      <c r="C1095" s="18">
        <v>68261</v>
      </c>
    </row>
    <row r="1096" spans="3:3" x14ac:dyDescent="0.25">
      <c r="C1096" s="18">
        <v>68296</v>
      </c>
    </row>
    <row r="1097" spans="3:3" x14ac:dyDescent="0.25">
      <c r="C1097" s="18">
        <v>68303</v>
      </c>
    </row>
    <row r="1098" spans="3:3" x14ac:dyDescent="0.25">
      <c r="C1098" s="18">
        <v>68364</v>
      </c>
    </row>
    <row r="1099" spans="3:3" x14ac:dyDescent="0.25">
      <c r="C1099" s="18">
        <v>68365</v>
      </c>
    </row>
    <row r="1100" spans="3:3" x14ac:dyDescent="0.25">
      <c r="C1100" s="18">
        <v>68410</v>
      </c>
    </row>
    <row r="1101" spans="3:3" x14ac:dyDescent="0.25">
      <c r="C1101" s="18">
        <v>68413</v>
      </c>
    </row>
    <row r="1102" spans="3:3" x14ac:dyDescent="0.25">
      <c r="C1102" s="18">
        <v>68423</v>
      </c>
    </row>
    <row r="1103" spans="3:3" x14ac:dyDescent="0.25">
      <c r="C1103" s="18">
        <v>68472</v>
      </c>
    </row>
    <row r="1104" spans="3:3" x14ac:dyDescent="0.25">
      <c r="C1104" s="18">
        <v>68552</v>
      </c>
    </row>
    <row r="1105" spans="3:3" x14ac:dyDescent="0.25">
      <c r="C1105" s="18">
        <v>68587</v>
      </c>
    </row>
    <row r="1106" spans="3:3" x14ac:dyDescent="0.25">
      <c r="C1106" s="18">
        <v>68608</v>
      </c>
    </row>
    <row r="1107" spans="3:3" x14ac:dyDescent="0.25">
      <c r="C1107" s="18">
        <v>68621</v>
      </c>
    </row>
    <row r="1108" spans="3:3" x14ac:dyDescent="0.25">
      <c r="C1108" s="18">
        <v>68626</v>
      </c>
    </row>
    <row r="1109" spans="3:3" x14ac:dyDescent="0.25">
      <c r="C1109" s="18">
        <v>68661</v>
      </c>
    </row>
    <row r="1110" spans="3:3" x14ac:dyDescent="0.25">
      <c r="C1110" s="18">
        <v>68668</v>
      </c>
    </row>
    <row r="1111" spans="3:3" x14ac:dyDescent="0.25">
      <c r="C1111" s="18">
        <v>68721</v>
      </c>
    </row>
    <row r="1112" spans="3:3" x14ac:dyDescent="0.25">
      <c r="C1112" s="18">
        <v>68722</v>
      </c>
    </row>
    <row r="1113" spans="3:3" x14ac:dyDescent="0.25">
      <c r="C1113" s="18">
        <v>68767</v>
      </c>
    </row>
    <row r="1114" spans="3:3" x14ac:dyDescent="0.25">
      <c r="C1114" s="18">
        <v>68779</v>
      </c>
    </row>
    <row r="1115" spans="3:3" x14ac:dyDescent="0.25">
      <c r="C1115" s="18">
        <v>68789</v>
      </c>
    </row>
    <row r="1116" spans="3:3" x14ac:dyDescent="0.25">
      <c r="C1116" s="18">
        <v>68829</v>
      </c>
    </row>
    <row r="1117" spans="3:3" x14ac:dyDescent="0.25">
      <c r="C1117" s="18">
        <v>68918</v>
      </c>
    </row>
    <row r="1118" spans="3:3" x14ac:dyDescent="0.25">
      <c r="C1118" s="18">
        <v>68953</v>
      </c>
    </row>
    <row r="1119" spans="3:3" x14ac:dyDescent="0.25">
      <c r="C1119" s="18">
        <v>68974</v>
      </c>
    </row>
    <row r="1120" spans="3:3" x14ac:dyDescent="0.25">
      <c r="C1120" s="18">
        <v>68987</v>
      </c>
    </row>
    <row r="1121" spans="3:3" x14ac:dyDescent="0.25">
      <c r="C1121" s="18">
        <v>68992</v>
      </c>
    </row>
    <row r="1122" spans="3:3" x14ac:dyDescent="0.25">
      <c r="C1122" s="18">
        <v>69027</v>
      </c>
    </row>
    <row r="1123" spans="3:3" x14ac:dyDescent="0.25">
      <c r="C1123" s="18">
        <v>69034</v>
      </c>
    </row>
    <row r="1124" spans="3:3" x14ac:dyDescent="0.25">
      <c r="C1124" s="18">
        <v>69078</v>
      </c>
    </row>
    <row r="1125" spans="3:3" x14ac:dyDescent="0.25">
      <c r="C1125" s="18">
        <v>69079</v>
      </c>
    </row>
    <row r="1126" spans="3:3" x14ac:dyDescent="0.25">
      <c r="C1126" s="18">
        <v>69124</v>
      </c>
    </row>
    <row r="1127" spans="3:3" x14ac:dyDescent="0.25">
      <c r="C1127" s="18">
        <v>69144</v>
      </c>
    </row>
    <row r="1128" spans="3:3" x14ac:dyDescent="0.25">
      <c r="C1128" s="18">
        <v>69154</v>
      </c>
    </row>
    <row r="1129" spans="3:3" x14ac:dyDescent="0.25">
      <c r="C1129" s="18">
        <v>69186</v>
      </c>
    </row>
    <row r="1130" spans="3:3" x14ac:dyDescent="0.25">
      <c r="C1130" s="18">
        <v>69283</v>
      </c>
    </row>
    <row r="1131" spans="3:3" x14ac:dyDescent="0.25">
      <c r="C1131" s="18">
        <v>69318</v>
      </c>
    </row>
    <row r="1132" spans="3:3" x14ac:dyDescent="0.25">
      <c r="C1132" s="18">
        <v>69339</v>
      </c>
    </row>
    <row r="1133" spans="3:3" x14ac:dyDescent="0.25">
      <c r="C1133" s="18">
        <v>69352</v>
      </c>
    </row>
    <row r="1134" spans="3:3" x14ac:dyDescent="0.25">
      <c r="C1134" s="18">
        <v>69357</v>
      </c>
    </row>
    <row r="1135" spans="3:3" x14ac:dyDescent="0.25">
      <c r="C1135" s="18">
        <v>69392</v>
      </c>
    </row>
    <row r="1136" spans="3:3" x14ac:dyDescent="0.25">
      <c r="C1136" s="18">
        <v>69399</v>
      </c>
    </row>
    <row r="1137" spans="3:3" x14ac:dyDescent="0.25">
      <c r="C1137" s="18">
        <v>69456</v>
      </c>
    </row>
    <row r="1138" spans="3:3" x14ac:dyDescent="0.25">
      <c r="C1138" s="18">
        <v>69457</v>
      </c>
    </row>
    <row r="1139" spans="3:3" x14ac:dyDescent="0.25">
      <c r="C1139" s="18">
        <v>69502</v>
      </c>
    </row>
    <row r="1140" spans="3:3" x14ac:dyDescent="0.25">
      <c r="C1140" s="18">
        <v>69509</v>
      </c>
    </row>
    <row r="1141" spans="3:3" x14ac:dyDescent="0.25">
      <c r="C1141" s="18">
        <v>69519</v>
      </c>
    </row>
    <row r="1142" spans="3:3" x14ac:dyDescent="0.25">
      <c r="C1142" s="18">
        <v>69564</v>
      </c>
    </row>
    <row r="1143" spans="3:3" x14ac:dyDescent="0.25">
      <c r="C1143" s="18">
        <v>69648</v>
      </c>
    </row>
    <row r="1144" spans="3:3" x14ac:dyDescent="0.25">
      <c r="C1144" s="18">
        <v>69683</v>
      </c>
    </row>
    <row r="1145" spans="3:3" x14ac:dyDescent="0.25">
      <c r="C1145" s="18">
        <v>69704</v>
      </c>
    </row>
    <row r="1146" spans="3:3" x14ac:dyDescent="0.25">
      <c r="C1146" s="18">
        <v>69717</v>
      </c>
    </row>
    <row r="1147" spans="3:3" x14ac:dyDescent="0.25">
      <c r="C1147" s="18">
        <v>69722</v>
      </c>
    </row>
    <row r="1148" spans="3:3" x14ac:dyDescent="0.25">
      <c r="C1148" s="18">
        <v>69757</v>
      </c>
    </row>
    <row r="1149" spans="3:3" x14ac:dyDescent="0.25">
      <c r="C1149" s="18">
        <v>69764</v>
      </c>
    </row>
    <row r="1150" spans="3:3" x14ac:dyDescent="0.25">
      <c r="C1150" s="18">
        <v>69813</v>
      </c>
    </row>
    <row r="1151" spans="3:3" x14ac:dyDescent="0.25">
      <c r="C1151" s="18">
        <v>69814</v>
      </c>
    </row>
    <row r="1152" spans="3:3" x14ac:dyDescent="0.25">
      <c r="C1152" s="18">
        <v>69859</v>
      </c>
    </row>
    <row r="1153" spans="3:3" x14ac:dyDescent="0.25">
      <c r="C1153" s="18">
        <v>69874</v>
      </c>
    </row>
    <row r="1154" spans="3:3" x14ac:dyDescent="0.25">
      <c r="C1154" s="18">
        <v>69884</v>
      </c>
    </row>
    <row r="1155" spans="3:3" x14ac:dyDescent="0.25">
      <c r="C1155" s="18">
        <v>69921</v>
      </c>
    </row>
    <row r="1156" spans="3:3" x14ac:dyDescent="0.25">
      <c r="C1156" s="18">
        <v>70013</v>
      </c>
    </row>
    <row r="1157" spans="3:3" x14ac:dyDescent="0.25">
      <c r="C1157" s="18">
        <v>70048</v>
      </c>
    </row>
    <row r="1158" spans="3:3" x14ac:dyDescent="0.25">
      <c r="C1158" s="18">
        <v>70069</v>
      </c>
    </row>
    <row r="1159" spans="3:3" x14ac:dyDescent="0.25">
      <c r="C1159" s="18">
        <v>70082</v>
      </c>
    </row>
    <row r="1160" spans="3:3" x14ac:dyDescent="0.25">
      <c r="C1160" s="18">
        <v>70087</v>
      </c>
    </row>
    <row r="1161" spans="3:3" x14ac:dyDescent="0.25">
      <c r="C1161" s="18">
        <v>70122</v>
      </c>
    </row>
    <row r="1162" spans="3:3" x14ac:dyDescent="0.25">
      <c r="C1162" s="18">
        <v>70129</v>
      </c>
    </row>
    <row r="1163" spans="3:3" x14ac:dyDescent="0.25">
      <c r="C1163" s="18">
        <v>70170</v>
      </c>
    </row>
    <row r="1164" spans="3:3" x14ac:dyDescent="0.25">
      <c r="C1164" s="18">
        <v>70171</v>
      </c>
    </row>
    <row r="1165" spans="3:3" x14ac:dyDescent="0.25">
      <c r="C1165" s="18">
        <v>70216</v>
      </c>
    </row>
    <row r="1166" spans="3:3" x14ac:dyDescent="0.25">
      <c r="C1166" s="18">
        <v>70240</v>
      </c>
    </row>
    <row r="1167" spans="3:3" x14ac:dyDescent="0.25">
      <c r="C1167" s="18">
        <v>70250</v>
      </c>
    </row>
    <row r="1168" spans="3:3" x14ac:dyDescent="0.25">
      <c r="C1168" s="18">
        <v>70278</v>
      </c>
    </row>
    <row r="1169" spans="3:3" x14ac:dyDescent="0.25">
      <c r="C1169" s="18">
        <v>70379</v>
      </c>
    </row>
    <row r="1170" spans="3:3" x14ac:dyDescent="0.25">
      <c r="C1170" s="18">
        <v>70414</v>
      </c>
    </row>
    <row r="1171" spans="3:3" x14ac:dyDescent="0.25">
      <c r="C1171" s="18">
        <v>70435</v>
      </c>
    </row>
    <row r="1172" spans="3:3" x14ac:dyDescent="0.25">
      <c r="C1172" s="18">
        <v>70448</v>
      </c>
    </row>
    <row r="1173" spans="3:3" x14ac:dyDescent="0.25">
      <c r="C1173" s="18">
        <v>70453</v>
      </c>
    </row>
    <row r="1174" spans="3:3" x14ac:dyDescent="0.25">
      <c r="C1174" s="18">
        <v>70488</v>
      </c>
    </row>
    <row r="1175" spans="3:3" x14ac:dyDescent="0.25">
      <c r="C1175" s="18">
        <v>70495</v>
      </c>
    </row>
    <row r="1176" spans="3:3" x14ac:dyDescent="0.25">
      <c r="C1176" s="18">
        <v>70548</v>
      </c>
    </row>
    <row r="1177" spans="3:3" x14ac:dyDescent="0.25">
      <c r="C1177" s="18">
        <v>70549</v>
      </c>
    </row>
    <row r="1178" spans="3:3" x14ac:dyDescent="0.25">
      <c r="C1178" s="18">
        <v>70594</v>
      </c>
    </row>
    <row r="1179" spans="3:3" x14ac:dyDescent="0.25">
      <c r="C1179" s="18">
        <v>70605</v>
      </c>
    </row>
    <row r="1180" spans="3:3" x14ac:dyDescent="0.25">
      <c r="C1180" s="18">
        <v>70615</v>
      </c>
    </row>
    <row r="1181" spans="3:3" x14ac:dyDescent="0.25">
      <c r="C1181" s="18">
        <v>70656</v>
      </c>
    </row>
    <row r="1182" spans="3:3" x14ac:dyDescent="0.25">
      <c r="C1182" s="18">
        <v>70744</v>
      </c>
    </row>
    <row r="1183" spans="3:3" x14ac:dyDescent="0.25">
      <c r="C1183" s="18">
        <v>70779</v>
      </c>
    </row>
    <row r="1184" spans="3:3" x14ac:dyDescent="0.25">
      <c r="C1184" s="18">
        <v>70800</v>
      </c>
    </row>
    <row r="1185" spans="3:3" x14ac:dyDescent="0.25">
      <c r="C1185" s="18">
        <v>70813</v>
      </c>
    </row>
    <row r="1186" spans="3:3" x14ac:dyDescent="0.25">
      <c r="C1186" s="18">
        <v>70818</v>
      </c>
    </row>
    <row r="1187" spans="3:3" x14ac:dyDescent="0.25">
      <c r="C1187" s="18">
        <v>70853</v>
      </c>
    </row>
    <row r="1188" spans="3:3" x14ac:dyDescent="0.25">
      <c r="C1188" s="18">
        <v>70860</v>
      </c>
    </row>
    <row r="1189" spans="3:3" x14ac:dyDescent="0.25">
      <c r="C1189" s="18">
        <v>70905</v>
      </c>
    </row>
    <row r="1190" spans="3:3" x14ac:dyDescent="0.25">
      <c r="C1190" s="18">
        <v>70906</v>
      </c>
    </row>
    <row r="1191" spans="3:3" x14ac:dyDescent="0.25">
      <c r="C1191" s="18">
        <v>70951</v>
      </c>
    </row>
    <row r="1192" spans="3:3" x14ac:dyDescent="0.25">
      <c r="C1192" s="18">
        <v>70970</v>
      </c>
    </row>
    <row r="1193" spans="3:3" x14ac:dyDescent="0.25">
      <c r="C1193" s="18">
        <v>70980</v>
      </c>
    </row>
    <row r="1194" spans="3:3" x14ac:dyDescent="0.25">
      <c r="C1194" s="18">
        <v>71013</v>
      </c>
    </row>
    <row r="1195" spans="3:3" x14ac:dyDescent="0.25">
      <c r="C1195" s="18">
        <v>71109</v>
      </c>
    </row>
    <row r="1196" spans="3:3" x14ac:dyDescent="0.25">
      <c r="C1196" s="18">
        <v>71144</v>
      </c>
    </row>
    <row r="1197" spans="3:3" x14ac:dyDescent="0.25">
      <c r="C1197" s="18">
        <v>71165</v>
      </c>
    </row>
    <row r="1198" spans="3:3" x14ac:dyDescent="0.25">
      <c r="C1198" s="18">
        <v>71178</v>
      </c>
    </row>
    <row r="1199" spans="3:3" x14ac:dyDescent="0.25">
      <c r="C1199" s="18">
        <v>71183</v>
      </c>
    </row>
    <row r="1200" spans="3:3" x14ac:dyDescent="0.25">
      <c r="C1200" s="18">
        <v>71218</v>
      </c>
    </row>
    <row r="1201" spans="3:3" x14ac:dyDescent="0.25">
      <c r="C1201" s="18">
        <v>71225</v>
      </c>
    </row>
    <row r="1202" spans="3:3" x14ac:dyDescent="0.25">
      <c r="C1202" s="18">
        <v>71290</v>
      </c>
    </row>
    <row r="1203" spans="3:3" x14ac:dyDescent="0.25">
      <c r="C1203" s="18">
        <v>71291</v>
      </c>
    </row>
    <row r="1204" spans="3:3" x14ac:dyDescent="0.25">
      <c r="C1204" s="18">
        <v>71335</v>
      </c>
    </row>
    <row r="1205" spans="3:3" x14ac:dyDescent="0.25">
      <c r="C1205" s="18">
        <v>71336</v>
      </c>
    </row>
    <row r="1206" spans="3:3" x14ac:dyDescent="0.25">
      <c r="C1206" s="18">
        <v>71345</v>
      </c>
    </row>
    <row r="1207" spans="3:3" x14ac:dyDescent="0.25">
      <c r="C1207" s="18">
        <v>71398</v>
      </c>
    </row>
    <row r="1208" spans="3:3" x14ac:dyDescent="0.25">
      <c r="C1208" s="18">
        <v>71474</v>
      </c>
    </row>
    <row r="1209" spans="3:3" x14ac:dyDescent="0.25">
      <c r="C1209" s="18">
        <v>71509</v>
      </c>
    </row>
    <row r="1210" spans="3:3" x14ac:dyDescent="0.25">
      <c r="C1210" s="18">
        <v>71530</v>
      </c>
    </row>
    <row r="1211" spans="3:3" x14ac:dyDescent="0.25">
      <c r="C1211" s="18">
        <v>71543</v>
      </c>
    </row>
    <row r="1212" spans="3:3" x14ac:dyDescent="0.25">
      <c r="C1212" s="18">
        <v>71548</v>
      </c>
    </row>
    <row r="1213" spans="3:3" x14ac:dyDescent="0.25">
      <c r="C1213" s="18">
        <v>71583</v>
      </c>
    </row>
    <row r="1214" spans="3:3" x14ac:dyDescent="0.25">
      <c r="C1214" s="18">
        <v>71590</v>
      </c>
    </row>
    <row r="1215" spans="3:3" x14ac:dyDescent="0.25">
      <c r="C1215" s="18">
        <v>71647</v>
      </c>
    </row>
    <row r="1216" spans="3:3" x14ac:dyDescent="0.25">
      <c r="C1216" s="18">
        <v>71648</v>
      </c>
    </row>
    <row r="1217" spans="3:3" x14ac:dyDescent="0.25">
      <c r="C1217" s="18">
        <v>71693</v>
      </c>
    </row>
    <row r="1218" spans="3:3" x14ac:dyDescent="0.25">
      <c r="C1218" s="18">
        <v>71701</v>
      </c>
    </row>
    <row r="1219" spans="3:3" x14ac:dyDescent="0.25">
      <c r="C1219" s="18">
        <v>71711</v>
      </c>
    </row>
    <row r="1220" spans="3:3" x14ac:dyDescent="0.25">
      <c r="C1220" s="18">
        <v>71755</v>
      </c>
    </row>
    <row r="1221" spans="3:3" x14ac:dyDescent="0.25">
      <c r="C1221" s="18">
        <v>71840</v>
      </c>
    </row>
    <row r="1222" spans="3:3" x14ac:dyDescent="0.25">
      <c r="C1222" s="18">
        <v>71875</v>
      </c>
    </row>
    <row r="1223" spans="3:3" x14ac:dyDescent="0.25">
      <c r="C1223" s="18">
        <v>71896</v>
      </c>
    </row>
    <row r="1224" spans="3:3" x14ac:dyDescent="0.25">
      <c r="C1224" s="18">
        <v>71909</v>
      </c>
    </row>
    <row r="1225" spans="3:3" x14ac:dyDescent="0.25">
      <c r="C1225" s="18">
        <v>71914</v>
      </c>
    </row>
    <row r="1226" spans="3:3" x14ac:dyDescent="0.25">
      <c r="C1226" s="18">
        <v>71949</v>
      </c>
    </row>
    <row r="1227" spans="3:3" x14ac:dyDescent="0.25">
      <c r="C1227" s="18">
        <v>71956</v>
      </c>
    </row>
    <row r="1228" spans="3:3" x14ac:dyDescent="0.25">
      <c r="C1228" s="18">
        <v>71997</v>
      </c>
    </row>
    <row r="1229" spans="3:3" x14ac:dyDescent="0.25">
      <c r="C1229" s="18">
        <v>71998</v>
      </c>
    </row>
    <row r="1230" spans="3:3" x14ac:dyDescent="0.25">
      <c r="C1230" s="18">
        <v>72043</v>
      </c>
    </row>
    <row r="1231" spans="3:3" x14ac:dyDescent="0.25">
      <c r="C1231" s="18">
        <v>72066</v>
      </c>
    </row>
    <row r="1232" spans="3:3" x14ac:dyDescent="0.25">
      <c r="C1232" s="18">
        <v>72076</v>
      </c>
    </row>
    <row r="1233" spans="3:3" x14ac:dyDescent="0.25">
      <c r="C1233" s="18">
        <v>72105</v>
      </c>
    </row>
    <row r="1234" spans="3:3" x14ac:dyDescent="0.25">
      <c r="C1234" s="18">
        <v>72205</v>
      </c>
    </row>
    <row r="1235" spans="3:3" x14ac:dyDescent="0.25">
      <c r="C1235" s="18">
        <v>72240</v>
      </c>
    </row>
    <row r="1236" spans="3:3" x14ac:dyDescent="0.25">
      <c r="C1236" s="18">
        <v>72261</v>
      </c>
    </row>
    <row r="1237" spans="3:3" x14ac:dyDescent="0.25">
      <c r="C1237" s="18">
        <v>72274</v>
      </c>
    </row>
    <row r="1238" spans="3:3" x14ac:dyDescent="0.25">
      <c r="C1238" s="18">
        <v>72279</v>
      </c>
    </row>
    <row r="1239" spans="3:3" x14ac:dyDescent="0.25">
      <c r="C1239" s="18">
        <v>72314</v>
      </c>
    </row>
    <row r="1240" spans="3:3" x14ac:dyDescent="0.25">
      <c r="C1240" s="18">
        <v>72321</v>
      </c>
    </row>
    <row r="1241" spans="3:3" x14ac:dyDescent="0.25">
      <c r="C1241" s="18">
        <v>72382</v>
      </c>
    </row>
    <row r="1242" spans="3:3" x14ac:dyDescent="0.25">
      <c r="C1242" s="18">
        <v>72383</v>
      </c>
    </row>
    <row r="1243" spans="3:3" x14ac:dyDescent="0.25">
      <c r="C1243" s="18">
        <v>72428</v>
      </c>
    </row>
    <row r="1244" spans="3:3" x14ac:dyDescent="0.25">
      <c r="C1244" s="18">
        <v>72431</v>
      </c>
    </row>
    <row r="1245" spans="3:3" x14ac:dyDescent="0.25">
      <c r="C1245" s="18">
        <v>72441</v>
      </c>
    </row>
    <row r="1246" spans="3:3" x14ac:dyDescent="0.25">
      <c r="C1246" s="18">
        <v>72490</v>
      </c>
    </row>
    <row r="1247" spans="3:3" x14ac:dyDescent="0.25">
      <c r="C1247" s="18">
        <v>72570</v>
      </c>
    </row>
    <row r="1248" spans="3:3" x14ac:dyDescent="0.25">
      <c r="C1248" s="18">
        <v>72605</v>
      </c>
    </row>
    <row r="1249" spans="3:3" x14ac:dyDescent="0.25">
      <c r="C1249" s="18">
        <v>72626</v>
      </c>
    </row>
    <row r="1250" spans="3:3" x14ac:dyDescent="0.25">
      <c r="C1250" s="18">
        <v>72639</v>
      </c>
    </row>
    <row r="1251" spans="3:3" x14ac:dyDescent="0.25">
      <c r="C1251" s="18">
        <v>72644</v>
      </c>
    </row>
    <row r="1252" spans="3:3" x14ac:dyDescent="0.25">
      <c r="C1252" s="18">
        <v>72679</v>
      </c>
    </row>
    <row r="1253" spans="3:3" x14ac:dyDescent="0.25">
      <c r="C1253" s="18">
        <v>72686</v>
      </c>
    </row>
    <row r="1254" spans="3:3" x14ac:dyDescent="0.25">
      <c r="C1254" s="18">
        <v>72739</v>
      </c>
    </row>
    <row r="1255" spans="3:3" x14ac:dyDescent="0.25">
      <c r="C1255" s="18">
        <v>72740</v>
      </c>
    </row>
    <row r="1256" spans="3:3" x14ac:dyDescent="0.25">
      <c r="C1256" s="18">
        <v>72785</v>
      </c>
    </row>
    <row r="1257" spans="3:3" x14ac:dyDescent="0.25">
      <c r="C1257" s="18">
        <v>72796</v>
      </c>
    </row>
    <row r="1258" spans="3:3" x14ac:dyDescent="0.25">
      <c r="C1258" s="18">
        <v>72806</v>
      </c>
    </row>
    <row r="1259" spans="3:3" x14ac:dyDescent="0.25">
      <c r="C1259" s="18">
        <v>72847</v>
      </c>
    </row>
    <row r="1260" spans="3:3" x14ac:dyDescent="0.25">
      <c r="C1260" s="18">
        <v>72935</v>
      </c>
    </row>
    <row r="1261" spans="3:3" x14ac:dyDescent="0.25">
      <c r="C1261" s="18">
        <v>72970</v>
      </c>
    </row>
    <row r="1262" spans="3:3" x14ac:dyDescent="0.25">
      <c r="C1262" s="18">
        <v>72991</v>
      </c>
    </row>
    <row r="1263" spans="3:3" x14ac:dyDescent="0.25">
      <c r="C1263" s="18">
        <v>73004</v>
      </c>
    </row>
    <row r="1264" spans="3:3" x14ac:dyDescent="0.25">
      <c r="C1264" s="18">
        <v>73009</v>
      </c>
    </row>
    <row r="1265" spans="3:3" x14ac:dyDescent="0.25">
      <c r="C1265" s="18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2:AO40"/>
  <sheetViews>
    <sheetView topLeftCell="K1" workbookViewId="0">
      <selection activeCell="N30" sqref="N30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0.5703125" bestFit="1" customWidth="1"/>
    <col min="24" max="24" width="10.42578125" customWidth="1"/>
    <col min="25" max="25" width="9.140625" bestFit="1" customWidth="1"/>
    <col min="26" max="26" width="11" bestFit="1" customWidth="1"/>
    <col min="27" max="27" width="8.85546875" bestFit="1" customWidth="1"/>
    <col min="28" max="28" width="12.5703125" customWidth="1"/>
    <col min="29" max="29" width="9.85546875" bestFit="1" customWidth="1"/>
    <col min="30" max="30" width="3" bestFit="1" customWidth="1"/>
    <col min="31" max="32" width="12" bestFit="1" customWidth="1"/>
    <col min="33" max="33" width="9.5703125" bestFit="1" customWidth="1"/>
    <col min="34" max="34" width="4" bestFit="1" customWidth="1"/>
    <col min="35" max="35" width="12" bestFit="1" customWidth="1"/>
    <col min="36" max="36" width="7.5703125" bestFit="1" customWidth="1"/>
    <col min="37" max="37" width="6.5703125" bestFit="1" customWidth="1"/>
    <col min="38" max="38" width="3" bestFit="1" customWidth="1"/>
    <col min="39" max="40" width="12" bestFit="1" customWidth="1"/>
    <col min="41" max="41" width="10.140625" bestFit="1" customWidth="1"/>
  </cols>
  <sheetData>
    <row r="2" spans="1:41" x14ac:dyDescent="0.25"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14</v>
      </c>
      <c r="L2" s="1" t="s">
        <v>15</v>
      </c>
      <c r="M2" s="1" t="s">
        <v>16</v>
      </c>
      <c r="N2" s="1" t="s">
        <v>17</v>
      </c>
      <c r="O2" s="1" t="s">
        <v>18</v>
      </c>
      <c r="P2" s="1" t="s">
        <v>19</v>
      </c>
      <c r="Q2" s="1" t="s">
        <v>20</v>
      </c>
      <c r="R2" s="1" t="s">
        <v>21</v>
      </c>
      <c r="S2" s="1" t="s">
        <v>22</v>
      </c>
      <c r="T2" s="1" t="s">
        <v>23</v>
      </c>
      <c r="U2" s="1" t="s">
        <v>24</v>
      </c>
      <c r="V2" s="1" t="s">
        <v>25</v>
      </c>
      <c r="W2" s="1" t="s">
        <v>26</v>
      </c>
      <c r="X2" s="1" t="s">
        <v>27</v>
      </c>
      <c r="Y2" s="1" t="s">
        <v>28</v>
      </c>
      <c r="Z2" s="1" t="s">
        <v>29</v>
      </c>
      <c r="AA2" s="1" t="s">
        <v>30</v>
      </c>
      <c r="AB2" s="1"/>
    </row>
    <row r="3" spans="1:41" x14ac:dyDescent="0.25">
      <c r="B3" s="2">
        <v>45982</v>
      </c>
      <c r="C3">
        <v>32.549999999999997</v>
      </c>
      <c r="D3" t="s">
        <v>31</v>
      </c>
      <c r="E3" s="2">
        <v>46129</v>
      </c>
      <c r="F3" s="3">
        <v>32.5</v>
      </c>
      <c r="G3" s="4">
        <v>0.05</v>
      </c>
      <c r="H3" s="5">
        <v>0.2409</v>
      </c>
      <c r="I3" s="6" cm="1">
        <f t="array" ref="I3">BRISTO.BDAYS(B3,E3,holiday_b3[])</f>
        <v>98</v>
      </c>
      <c r="J3" s="7">
        <f>I3/252</f>
        <v>0.3888888888888889</v>
      </c>
      <c r="K3" s="8">
        <v>0.14712500000000001</v>
      </c>
      <c r="L3" s="6" cm="1">
        <f t="array" ref="L3">BRISTO.BDAYS(B3,E3,holiday_br[])</f>
        <v>100</v>
      </c>
      <c r="M3" s="9">
        <f>1/((1+K3)^(L3/252))</f>
        <v>0.94698901788845258</v>
      </c>
      <c r="N3" s="9">
        <f>1/((1+G3)^J3)</f>
        <v>0.98120491961691236</v>
      </c>
      <c r="O3" s="5">
        <f>LN(N3/M3)/J3</f>
        <v>9.1269848235710271E-2</v>
      </c>
      <c r="P3" s="7">
        <f>(LN(C3/F3) + (O3 + (H3^2)/2)*J3) / (H3*SQRT(J3))</f>
        <v>0.32161390232759329</v>
      </c>
      <c r="Q3" s="7">
        <f>P3-H3*SQRT(J3)</f>
        <v>0.17138635824861956</v>
      </c>
      <c r="R3">
        <f t="shared" ref="R3:R6" si="0">IF(D3="C",1,-1)</f>
        <v>-1</v>
      </c>
      <c r="S3" s="10">
        <f>(C3*_xlfn.NORM.S.DIST(P3*R3, TRUE)*R3 - F3*EXP(-O3*J3)*_xlfn.NORM.S.DIST(Q3*R3, TRUE)*R3)*N3</f>
        <v>1.3536688595566024</v>
      </c>
      <c r="T3" s="11">
        <f>(_xlfn.NORM.S.DIST(P3, TRUE)-IF(D3="P",1,0))*N3</f>
        <v>-0.36684563955883881</v>
      </c>
      <c r="U3" s="5">
        <f>(_xlfn.NORM.S.DIST(P3,FALSE)/(C3*H3*SQRT(J3)))*N3</f>
        <v>7.6016608331291924E-2</v>
      </c>
      <c r="V3" s="12">
        <f>_xlfn.NORM.S.DIST(P3,FALSE)*C3*SQRT(J3)*N3</f>
        <v>7.5452356716946127</v>
      </c>
      <c r="W3" s="13">
        <f>(-C3*_xlfn.NORM.S.DIST(P3,FALSE)*H3/(2*SQRT(J3))-R3*O3*F3*EXP(-O3*J3)*_xlfn.NORM.S.DIST(Q3*R3,TRUE))/252</f>
        <v>-4.5440913921305E-3</v>
      </c>
      <c r="X3" s="13">
        <v>5.4032</v>
      </c>
      <c r="Y3" s="6">
        <v>1000000</v>
      </c>
      <c r="Z3" s="3">
        <f>Y3*U3*C3*1%*C3/X3</f>
        <v>149059.42139569996</v>
      </c>
      <c r="AA3" s="6">
        <f>Y3*T3</f>
        <v>-366845.6395588388</v>
      </c>
      <c r="AB3" s="6"/>
    </row>
    <row r="4" spans="1:41" x14ac:dyDescent="0.25">
      <c r="B4" s="2">
        <v>45982</v>
      </c>
      <c r="C4">
        <v>32.549999999999997</v>
      </c>
      <c r="D4" t="s">
        <v>32</v>
      </c>
      <c r="E4" s="2">
        <v>46129</v>
      </c>
      <c r="F4" s="3">
        <v>32.5</v>
      </c>
      <c r="G4" s="4">
        <v>0</v>
      </c>
      <c r="H4" s="5">
        <v>0.2409</v>
      </c>
      <c r="I4" s="6" cm="1">
        <f t="array" ref="I4">BRISTO.BDAYS(B4,E4,holiday_b3[])</f>
        <v>98</v>
      </c>
      <c r="J4" s="7">
        <f t="shared" ref="J4:J6" si="1">I4/252</f>
        <v>0.3888888888888889</v>
      </c>
      <c r="K4" s="8">
        <v>0.14712500000000001</v>
      </c>
      <c r="L4" s="6" cm="1">
        <f t="array" ref="L4">BRISTO.BDAYS(B4,E4,holiday_br[])</f>
        <v>100</v>
      </c>
      <c r="M4" s="9">
        <f t="shared" ref="M4:M6" si="2">1/((1+K4)^(L4/252))</f>
        <v>0.94698901788845258</v>
      </c>
      <c r="N4" s="9">
        <f t="shared" ref="N4:N6" si="3">1/((1+G4)^J4)</f>
        <v>1</v>
      </c>
      <c r="O4" s="5">
        <f t="shared" ref="O4:O6" si="4">LN(N4/M4)/J4</f>
        <v>0.14006001240514271</v>
      </c>
      <c r="P4" s="7">
        <f t="shared" ref="P4:P6" si="5">(LN(C4/F4) + (O4 + (H4^2)/2)*J4) / (H4*SQRT(J4))</f>
        <v>0.44791532627007996</v>
      </c>
      <c r="Q4" s="7">
        <f t="shared" ref="Q4:Q6" si="6">P4-H4*SQRT(J4)</f>
        <v>0.29768778219110625</v>
      </c>
      <c r="R4">
        <f t="shared" si="0"/>
        <v>1</v>
      </c>
      <c r="S4" s="10">
        <f t="shared" ref="S4:S6" si="7">(C4*_xlfn.NORM.S.DIST(P4*R4, TRUE)*R4 - F4*EXP(-O4*J4)*_xlfn.NORM.S.DIST(Q4*R4, TRUE)*R4)*N4</f>
        <v>2.9122641694236968</v>
      </c>
      <c r="T4" s="11">
        <f>(_xlfn.NORM.S.DIST(P4, TRUE)-IF(D4="P",1,0))*N4</f>
        <v>0.6728928465287034</v>
      </c>
      <c r="U4" s="5">
        <f t="shared" ref="U4:U6" si="8">(_xlfn.NORM.S.DIST(P4,FALSE)/(C4*H4*SQRT(J4)))*N4</f>
        <v>7.3797841347946203E-2</v>
      </c>
      <c r="V4" s="12">
        <f t="shared" ref="V4:V6" si="9">_xlfn.NORM.S.DIST(P4,FALSE)*C4*SQRT(J4)*N4</f>
        <v>7.3250059066811817</v>
      </c>
      <c r="W4" s="13">
        <f t="shared" ref="W4:W6" si="10">(-C4*_xlfn.NORM.S.DIST(P4,FALSE)*H4/(2*SQRT(J4))-R4*O4*F4*EXP(-O4*J4)*_xlfn.NORM.S.DIST(Q4*R4,TRUE))/252</f>
        <v>-1.9557773779967841E-2</v>
      </c>
      <c r="X4" s="13">
        <v>5.4032</v>
      </c>
      <c r="Y4" s="6">
        <v>1000000</v>
      </c>
      <c r="Z4" s="3">
        <f t="shared" ref="Z4:Z6" si="11">Y4*U4*C4*1%*C4/X4</f>
        <v>144708.68633911823</v>
      </c>
      <c r="AA4" s="6">
        <f>Y4*T4</f>
        <v>672892.84652870335</v>
      </c>
      <c r="AB4" s="6"/>
    </row>
    <row r="5" spans="1:41" x14ac:dyDescent="0.25">
      <c r="B5" s="2">
        <v>45982</v>
      </c>
      <c r="C5">
        <v>32.549999999999997</v>
      </c>
      <c r="D5" t="s">
        <v>31</v>
      </c>
      <c r="E5" s="2">
        <v>46129</v>
      </c>
      <c r="F5" s="3">
        <v>40.5</v>
      </c>
      <c r="G5" s="4">
        <v>0</v>
      </c>
      <c r="H5" s="5">
        <v>0.25590000000000002</v>
      </c>
      <c r="I5" s="6" cm="1">
        <f t="array" ref="I5">BRISTO.BDAYS(B5,E5,holiday_b3[])</f>
        <v>98</v>
      </c>
      <c r="J5" s="7">
        <f t="shared" si="1"/>
        <v>0.3888888888888889</v>
      </c>
      <c r="K5" s="8">
        <v>0.14712500000000001</v>
      </c>
      <c r="L5" s="6" cm="1">
        <f t="array" ref="L5">BRISTO.BDAYS(B5,E5,holiday_br[])</f>
        <v>100</v>
      </c>
      <c r="M5" s="9">
        <f t="shared" si="2"/>
        <v>0.94698901788845258</v>
      </c>
      <c r="N5" s="9">
        <f t="shared" si="3"/>
        <v>1</v>
      </c>
      <c r="O5" s="5">
        <f t="shared" si="4"/>
        <v>0.14006001240514271</v>
      </c>
      <c r="P5" s="7">
        <f t="shared" si="5"/>
        <v>-0.94825206878691815</v>
      </c>
      <c r="Q5" s="7">
        <f t="shared" si="6"/>
        <v>-1.1078337563328267</v>
      </c>
      <c r="R5">
        <f t="shared" si="0"/>
        <v>-1</v>
      </c>
      <c r="S5" s="10">
        <f t="shared" si="7"/>
        <v>6.2473624302637525</v>
      </c>
      <c r="T5" s="11">
        <f>(_xlfn.NORM.S.DIST(P5, TRUE)-IF(D5="P",1,0))*N5</f>
        <v>-0.82849942725574399</v>
      </c>
      <c r="U5" s="5">
        <f t="shared" si="8"/>
        <v>4.8991544616826962E-2</v>
      </c>
      <c r="V5" s="12">
        <f t="shared" si="9"/>
        <v>5.1655781791054469</v>
      </c>
      <c r="W5" s="13">
        <f t="shared" si="10"/>
        <v>1.1716456065499861E-2</v>
      </c>
      <c r="X5" s="13">
        <v>5.4032</v>
      </c>
      <c r="Y5" s="6">
        <v>1000000</v>
      </c>
      <c r="Z5" s="3">
        <f t="shared" si="11"/>
        <v>96066.523542326235</v>
      </c>
      <c r="AA5" s="6">
        <f>Y5*T5</f>
        <v>-828499.427255744</v>
      </c>
      <c r="AB5" s="6"/>
    </row>
    <row r="6" spans="1:41" x14ac:dyDescent="0.25">
      <c r="B6" s="2">
        <v>45982</v>
      </c>
      <c r="C6">
        <v>32.549999999999997</v>
      </c>
      <c r="D6" t="s">
        <v>32</v>
      </c>
      <c r="E6" s="2">
        <v>46129</v>
      </c>
      <c r="F6" s="3">
        <v>40.5</v>
      </c>
      <c r="G6" s="4">
        <v>0.05</v>
      </c>
      <c r="H6" s="5">
        <v>0.25590000000000002</v>
      </c>
      <c r="I6" s="6" cm="1">
        <f t="array" ref="I6">BRISTO.BDAYS(B6,E6,holiday_b3[])</f>
        <v>98</v>
      </c>
      <c r="J6" s="7">
        <f t="shared" si="1"/>
        <v>0.3888888888888889</v>
      </c>
      <c r="K6" s="8">
        <v>0.14712500000000001</v>
      </c>
      <c r="L6" s="6" cm="1">
        <f t="array" ref="L6">BRISTO.BDAYS(B6,E6,holiday_br[])</f>
        <v>100</v>
      </c>
      <c r="M6" s="9">
        <f t="shared" si="2"/>
        <v>0.94698901788845258</v>
      </c>
      <c r="N6" s="9">
        <f t="shared" si="3"/>
        <v>0.98120491961691236</v>
      </c>
      <c r="O6" s="5">
        <f t="shared" si="4"/>
        <v>9.1269848235710271E-2</v>
      </c>
      <c r="P6" s="7">
        <f t="shared" si="5"/>
        <v>-1.0671501267304313</v>
      </c>
      <c r="Q6" s="7">
        <f t="shared" si="6"/>
        <v>-1.2267318142763399</v>
      </c>
      <c r="R6">
        <f t="shared" si="0"/>
        <v>1</v>
      </c>
      <c r="S6" s="10">
        <f t="shared" si="7"/>
        <v>0.34826596459266523</v>
      </c>
      <c r="T6" s="11">
        <f>(_xlfn.NORM.S.DIST(P6, TRUE)-IF(D6="P",1,0))*N6</f>
        <v>0.14026522989850662</v>
      </c>
      <c r="U6" s="5">
        <f t="shared" si="8"/>
        <v>4.2642869268756892E-2</v>
      </c>
      <c r="V6" s="12">
        <f t="shared" si="9"/>
        <v>4.4961855502200221</v>
      </c>
      <c r="W6" s="13">
        <f t="shared" si="10"/>
        <v>-7.539433415031823E-3</v>
      </c>
      <c r="X6" s="13">
        <v>5.4032</v>
      </c>
      <c r="Y6" s="6">
        <v>1000000</v>
      </c>
      <c r="Z6" s="3">
        <f t="shared" si="11"/>
        <v>83617.535159574123</v>
      </c>
      <c r="AA6" s="6">
        <f>Y6*T6</f>
        <v>140265.22989850663</v>
      </c>
      <c r="AB6" s="6"/>
    </row>
    <row r="7" spans="1:41" x14ac:dyDescent="0.25">
      <c r="J7" s="5"/>
      <c r="K7" s="5"/>
    </row>
    <row r="8" spans="1:41" x14ac:dyDescent="0.25">
      <c r="E8" s="2">
        <v>46128</v>
      </c>
      <c r="AC8" s="51" t="s">
        <v>33</v>
      </c>
      <c r="AD8" s="51"/>
      <c r="AE8" s="51"/>
      <c r="AF8" s="51"/>
      <c r="AG8" s="51" t="s">
        <v>34</v>
      </c>
      <c r="AH8" s="51"/>
      <c r="AI8" s="51"/>
      <c r="AJ8" s="51"/>
    </row>
    <row r="9" spans="1:41" x14ac:dyDescent="0.25">
      <c r="B9" s="1" t="s">
        <v>5</v>
      </c>
      <c r="C9" s="1" t="s">
        <v>6</v>
      </c>
      <c r="D9" s="1" t="s">
        <v>7</v>
      </c>
      <c r="E9" s="1" t="s">
        <v>8</v>
      </c>
      <c r="F9" s="1" t="s">
        <v>9</v>
      </c>
      <c r="G9" s="1" t="s">
        <v>10</v>
      </c>
      <c r="H9" s="1" t="s">
        <v>11</v>
      </c>
      <c r="I9" s="1" t="s">
        <v>12</v>
      </c>
      <c r="J9" s="1" t="s">
        <v>13</v>
      </c>
      <c r="K9" s="1" t="s">
        <v>14</v>
      </c>
      <c r="L9" s="1" t="s">
        <v>15</v>
      </c>
      <c r="M9" s="1" t="s">
        <v>16</v>
      </c>
      <c r="N9" s="1" t="s">
        <v>17</v>
      </c>
      <c r="O9" s="1" t="s">
        <v>18</v>
      </c>
      <c r="P9" s="1" t="s">
        <v>19</v>
      </c>
      <c r="Q9" s="1" t="s">
        <v>20</v>
      </c>
      <c r="R9" s="1" t="s">
        <v>21</v>
      </c>
      <c r="S9" s="1" t="s">
        <v>22</v>
      </c>
      <c r="T9" s="1" t="s">
        <v>23</v>
      </c>
      <c r="U9" s="1" t="s">
        <v>24</v>
      </c>
      <c r="V9" s="1" t="s">
        <v>25</v>
      </c>
      <c r="W9" s="1" t="s">
        <v>26</v>
      </c>
      <c r="X9" s="1" t="s">
        <v>27</v>
      </c>
      <c r="Y9" s="1" t="s">
        <v>28</v>
      </c>
      <c r="Z9" s="1" t="s">
        <v>29</v>
      </c>
      <c r="AA9" s="1" t="s">
        <v>30</v>
      </c>
      <c r="AC9" s="1" t="s">
        <v>35</v>
      </c>
      <c r="AD9" s="1" t="s">
        <v>36</v>
      </c>
      <c r="AE9" s="1" t="s">
        <v>13</v>
      </c>
      <c r="AF9" s="1" t="s">
        <v>37</v>
      </c>
      <c r="AG9" s="1" t="s">
        <v>35</v>
      </c>
      <c r="AH9" s="1" t="s">
        <v>36</v>
      </c>
      <c r="AI9" s="1" t="s">
        <v>13</v>
      </c>
      <c r="AJ9" s="1" t="s">
        <v>37</v>
      </c>
      <c r="AK9" s="1" t="s">
        <v>38</v>
      </c>
      <c r="AO9" s="14" t="s">
        <v>39</v>
      </c>
    </row>
    <row r="10" spans="1:41" x14ac:dyDescent="0.25">
      <c r="A10" t="s">
        <v>40</v>
      </c>
      <c r="B10" s="2">
        <v>45982</v>
      </c>
      <c r="C10">
        <v>32.549999999999997</v>
      </c>
      <c r="D10" t="s">
        <v>31</v>
      </c>
      <c r="E10" s="2">
        <f>E8</f>
        <v>46128</v>
      </c>
      <c r="F10" s="3">
        <v>32.5</v>
      </c>
      <c r="G10" s="4">
        <v>0.05</v>
      </c>
      <c r="H10" s="5">
        <v>0.2409</v>
      </c>
      <c r="I10" s="6" cm="1">
        <f t="array" ref="I10">BRISTO.BDAYS(B10,E10,holiday_b3[])</f>
        <v>97</v>
      </c>
      <c r="J10" s="7">
        <f>I10/252</f>
        <v>0.38492063492063494</v>
      </c>
      <c r="K10" s="8">
        <v>0.14712500000000001</v>
      </c>
      <c r="L10" s="6" cm="1">
        <f t="array" ref="L10">BRISTO.BDAYS(B10,E10,holiday_br[])</f>
        <v>99</v>
      </c>
      <c r="M10" s="9">
        <f>1/((1+K10)^(L10/252))</f>
        <v>0.94750496230696735</v>
      </c>
      <c r="N10" s="9">
        <f>1/((1+G10)^J10)</f>
        <v>0.9813949108225215</v>
      </c>
      <c r="O10" s="5">
        <f>LN(N10/M10)/J10</f>
        <v>9.1298726588784296E-2</v>
      </c>
      <c r="P10" s="7">
        <f>(LN(C10/F10) + (O10 + (H10^2)/2)*J10) / (H10*SQRT(J10))</f>
        <v>0.32014813693847821</v>
      </c>
      <c r="Q10" s="7">
        <f>P10-H10*SQRT(J10)</f>
        <v>0.17068902523421117</v>
      </c>
      <c r="R10">
        <f t="shared" ref="R10:R13" si="12">IF(D10="C",1,-1)</f>
        <v>-1</v>
      </c>
      <c r="S10" s="10">
        <f>(C10*_xlfn.NORM.S.DIST(P10*R10, TRUE)*R10 - F10*EXP(-O10*J10)*_xlfn.NORM.S.DIST(Q10*R10, TRUE)*R10)*N10</f>
        <v>1.3492999420741507</v>
      </c>
      <c r="T10" s="11">
        <f>(_xlfn.NORM.S.DIST(P10, TRUE)-IF(D10="P",1,0))*N10</f>
        <v>-0.36746175151705895</v>
      </c>
      <c r="U10" s="5">
        <f>(_xlfn.NORM.S.DIST(P10,FALSE)/(C10*H10*SQRT(J10)))*N10</f>
        <v>7.6458189216003947E-2</v>
      </c>
      <c r="V10" s="12">
        <f>_xlfn.NORM.S.DIST(P10,FALSE)*C10*SQRT(J10)*N10</f>
        <v>7.5116265372632345</v>
      </c>
      <c r="W10" s="13">
        <f>(-C10*_xlfn.NORM.S.DIST(P10,FALSE)*H10/(2*SQRT(J10))-R10*O10*F10*EXP(-O10*J10)*_xlfn.NORM.S.DIST(Q10*R10,TRUE))/252</f>
        <v>-4.5907610662063439E-3</v>
      </c>
      <c r="X10" s="13">
        <v>5.4032</v>
      </c>
      <c r="Y10" s="6">
        <v>1000000</v>
      </c>
      <c r="Z10" s="3">
        <f>Y10*U10*C10*1%*C10/X10</f>
        <v>149925.3083725</v>
      </c>
      <c r="AA10" s="6">
        <f>Y10*T10</f>
        <v>-367461.75151705893</v>
      </c>
      <c r="AC10" s="2" cm="1">
        <f t="array" ref="AC10:AF10">_xlfn.XLOOKUP(E10,$J$26:$J$35,$J$26:$M$35,"",-1)</f>
        <v>46112</v>
      </c>
      <c r="AD10">
        <v>88</v>
      </c>
      <c r="AE10">
        <v>0.34920634920634919</v>
      </c>
      <c r="AF10">
        <v>1.0492985135724895</v>
      </c>
      <c r="AG10" s="2" cm="1">
        <f t="array" ref="AG10:AJ10">_xlfn.XLOOKUP(E10,$J$26:$J$35,$J$26:$M$35,"",1)</f>
        <v>46142</v>
      </c>
      <c r="AH10">
        <v>108</v>
      </c>
      <c r="AI10">
        <v>0.42857142857142855</v>
      </c>
      <c r="AJ10" s="12">
        <v>1.060461050053632</v>
      </c>
      <c r="AK10" s="13">
        <f>AJ10/AF10</f>
        <v>1.0106380942474968</v>
      </c>
      <c r="AL10" s="6">
        <v>11</v>
      </c>
      <c r="AM10">
        <f>AK10^(AL10/(AH10-AD10))</f>
        <v>1.0058370187089534</v>
      </c>
      <c r="AN10">
        <f>AM10*AF10</f>
        <v>1.055423288627489</v>
      </c>
      <c r="AO10" s="15">
        <f>AN10^(252/(AD10+AL10))-1</f>
        <v>0.14717990560500693</v>
      </c>
    </row>
    <row r="11" spans="1:41" x14ac:dyDescent="0.25">
      <c r="A11" t="s">
        <v>40</v>
      </c>
      <c r="B11" s="2">
        <v>45982</v>
      </c>
      <c r="C11">
        <v>32.549999999999997</v>
      </c>
      <c r="D11" t="s">
        <v>32</v>
      </c>
      <c r="E11" s="2">
        <f>E10</f>
        <v>46128</v>
      </c>
      <c r="F11" s="3">
        <v>32.5</v>
      </c>
      <c r="G11" s="4">
        <v>0</v>
      </c>
      <c r="H11" s="5">
        <v>0.2409</v>
      </c>
      <c r="I11" s="6" cm="1">
        <f t="array" ref="I11">BRISTO.BDAYS(B11,E11,holiday_b3[])</f>
        <v>97</v>
      </c>
      <c r="J11" s="7">
        <f t="shared" ref="J11:J13" si="13">I11/252</f>
        <v>0.38492063492063494</v>
      </c>
      <c r="K11" s="8">
        <v>0.14712500000000001</v>
      </c>
      <c r="L11" s="6" cm="1">
        <f t="array" ref="L11">BRISTO.BDAYS(B11,E11,holiday_br[])</f>
        <v>99</v>
      </c>
      <c r="M11" s="9">
        <f t="shared" ref="M11:M13" si="14">1/((1+K11)^(L11/252))</f>
        <v>0.94750496230696735</v>
      </c>
      <c r="N11" s="9">
        <f t="shared" ref="N11:N13" si="15">1/((1+G11)^J11)</f>
        <v>1</v>
      </c>
      <c r="O11" s="5">
        <f t="shared" ref="O11:O13" si="16">LN(N11/M11)/J11</f>
        <v>0.14008889075821601</v>
      </c>
      <c r="P11" s="7">
        <f t="shared" ref="P11:P13" si="17">(LN(C11/F11) + (O11 + (H11^2)/2)*J11) / (H11*SQRT(J11))</f>
        <v>0.44580351355506143</v>
      </c>
      <c r="Q11" s="7">
        <f t="shared" ref="Q11:Q13" si="18">P11-H11*SQRT(J11)</f>
        <v>0.29634440185079436</v>
      </c>
      <c r="R11">
        <f t="shared" si="12"/>
        <v>1</v>
      </c>
      <c r="S11" s="10">
        <f t="shared" ref="S11:S13" si="19">(C11*_xlfn.NORM.S.DIST(P11*R11, TRUE)*R11 - F11*EXP(-O11*J11)*_xlfn.NORM.S.DIST(Q11*R11, TRUE)*R11)*N11</f>
        <v>2.8928916206088431</v>
      </c>
      <c r="T11" s="11">
        <f>(_xlfn.NORM.S.DIST(P11, TRUE)-IF(D11="P",1,0))*N11</f>
        <v>0.67213040820993664</v>
      </c>
      <c r="U11" s="5">
        <f t="shared" ref="U11:U13" si="20">(_xlfn.NORM.S.DIST(P11,FALSE)/(C11*H11*SQRT(J11)))*N11</f>
        <v>7.4247300093100654E-2</v>
      </c>
      <c r="V11" s="12">
        <f t="shared" ref="V11:V13" si="21">_xlfn.NORM.S.DIST(P11,FALSE)*C11*SQRT(J11)*N11</f>
        <v>7.294417974297807</v>
      </c>
      <c r="W11" s="13">
        <f t="shared" ref="W11:W13" si="22">(-C11*_xlfn.NORM.S.DIST(P11,FALSE)*H11/(2*SQRT(J11))-R11*O11*F11*EXP(-O11*J11)*_xlfn.NORM.S.DIST(Q11*R11,TRUE))/252</f>
        <v>-1.9611755296650945E-2</v>
      </c>
      <c r="X11" s="13">
        <v>5.4032</v>
      </c>
      <c r="Y11" s="6">
        <v>1000000</v>
      </c>
      <c r="Z11" s="3">
        <f t="shared" ref="Z11:Z13" si="23">Y11*U11*C11*1%*C11/X11</f>
        <v>145590.02085225488</v>
      </c>
      <c r="AA11" s="6">
        <f>Y11*T11</f>
        <v>672130.40820993669</v>
      </c>
      <c r="AC11" s="2" cm="1">
        <f t="array" ref="AC11:AF11">_xlfn.XLOOKUP(E11,$J$26:$J$35,$J$26:$M$35,"",-1)</f>
        <v>46112</v>
      </c>
      <c r="AD11">
        <v>88</v>
      </c>
      <c r="AE11">
        <v>0.34920634920634919</v>
      </c>
      <c r="AF11">
        <v>1.0492985135724895</v>
      </c>
      <c r="AG11" s="2" cm="1">
        <f t="array" ref="AG11:AJ11">_xlfn.XLOOKUP(E11,$J$26:$J$35,$J$26:$M$35,"",1)</f>
        <v>46142</v>
      </c>
      <c r="AH11">
        <v>108</v>
      </c>
      <c r="AI11">
        <v>0.42857142857142855</v>
      </c>
      <c r="AJ11" s="12">
        <v>1.060461050053632</v>
      </c>
      <c r="AK11" s="13">
        <f t="shared" ref="AK11:AK13" si="24">AJ11/AF11</f>
        <v>1.0106380942474968</v>
      </c>
      <c r="AL11" s="6">
        <v>11</v>
      </c>
      <c r="AM11">
        <f t="shared" ref="AM11:AM13" si="25">AK11^(AL11/(AH11-AD11))</f>
        <v>1.0058370187089534</v>
      </c>
      <c r="AN11">
        <f t="shared" ref="AN11:AN13" si="26">AM11*AF11</f>
        <v>1.055423288627489</v>
      </c>
      <c r="AO11" s="15">
        <f t="shared" ref="AO11:AO13" si="27">AN11^(252/(AD11+AL11))-1</f>
        <v>0.14717990560500693</v>
      </c>
    </row>
    <row r="12" spans="1:41" x14ac:dyDescent="0.25">
      <c r="A12" t="s">
        <v>40</v>
      </c>
      <c r="B12" s="2">
        <v>45982</v>
      </c>
      <c r="C12">
        <v>32.549999999999997</v>
      </c>
      <c r="D12" t="s">
        <v>31</v>
      </c>
      <c r="E12" s="2">
        <f t="shared" ref="E12:E13" si="28">E11</f>
        <v>46128</v>
      </c>
      <c r="F12" s="3">
        <v>40.5</v>
      </c>
      <c r="G12" s="4">
        <v>0</v>
      </c>
      <c r="H12" s="5">
        <v>0.25590000000000002</v>
      </c>
      <c r="I12" s="6" cm="1">
        <f t="array" ref="I12">BRISTO.BDAYS(B12,E12,holiday_b3[])</f>
        <v>97</v>
      </c>
      <c r="J12" s="7">
        <f t="shared" si="13"/>
        <v>0.38492063492063494</v>
      </c>
      <c r="K12" s="8">
        <v>0.14712500000000001</v>
      </c>
      <c r="L12" s="6" cm="1">
        <f t="array" ref="L12">BRISTO.BDAYS(B12,E12,holiday_br[])</f>
        <v>99</v>
      </c>
      <c r="M12" s="9">
        <f t="shared" si="14"/>
        <v>0.94750496230696735</v>
      </c>
      <c r="N12" s="9">
        <f t="shared" si="15"/>
        <v>1</v>
      </c>
      <c r="O12" s="5">
        <f t="shared" si="16"/>
        <v>0.14008889075821601</v>
      </c>
      <c r="P12" s="7">
        <f t="shared" si="17"/>
        <v>-0.95737651974025684</v>
      </c>
      <c r="Q12" s="7">
        <f t="shared" si="18"/>
        <v>-1.1161419273165205</v>
      </c>
      <c r="R12">
        <f t="shared" si="12"/>
        <v>-1</v>
      </c>
      <c r="S12" s="10">
        <f t="shared" si="19"/>
        <v>6.2587451778959569</v>
      </c>
      <c r="T12" s="11">
        <f>(_xlfn.NORM.S.DIST(P12, TRUE)-IF(D12="P",1,0))*N12</f>
        <v>-0.83081137728197585</v>
      </c>
      <c r="U12" s="5">
        <f t="shared" si="20"/>
        <v>4.8817168629682439E-2</v>
      </c>
      <c r="V12" s="12">
        <f t="shared" si="21"/>
        <v>5.0946699260029131</v>
      </c>
      <c r="W12" s="13">
        <f t="shared" si="22"/>
        <v>1.1792429300642055E-2</v>
      </c>
      <c r="X12" s="13">
        <v>5.4032</v>
      </c>
      <c r="Y12" s="6">
        <v>1000000</v>
      </c>
      <c r="Z12" s="3">
        <f t="shared" si="23"/>
        <v>95724.593215261542</v>
      </c>
      <c r="AA12" s="6">
        <f>Y12*T12</f>
        <v>-830811.37728197582</v>
      </c>
      <c r="AC12" s="2" cm="1">
        <f t="array" ref="AC12:AF12">_xlfn.XLOOKUP(E12,$J$26:$J$35,$J$26:$M$35,"",-1)</f>
        <v>46112</v>
      </c>
      <c r="AD12">
        <v>88</v>
      </c>
      <c r="AE12">
        <v>0.34920634920634919</v>
      </c>
      <c r="AF12">
        <v>1.0492985135724895</v>
      </c>
      <c r="AG12" s="2" cm="1">
        <f t="array" ref="AG12:AJ12">_xlfn.XLOOKUP(E12,$J$26:$J$35,$J$26:$M$35,"",1)</f>
        <v>46142</v>
      </c>
      <c r="AH12">
        <v>108</v>
      </c>
      <c r="AI12">
        <v>0.42857142857142855</v>
      </c>
      <c r="AJ12" s="12">
        <v>1.060461050053632</v>
      </c>
      <c r="AK12" s="13">
        <f t="shared" si="24"/>
        <v>1.0106380942474968</v>
      </c>
      <c r="AL12" s="6">
        <v>11</v>
      </c>
      <c r="AM12">
        <f t="shared" si="25"/>
        <v>1.0058370187089534</v>
      </c>
      <c r="AN12">
        <f t="shared" si="26"/>
        <v>1.055423288627489</v>
      </c>
      <c r="AO12" s="15">
        <f t="shared" si="27"/>
        <v>0.14717990560500693</v>
      </c>
    </row>
    <row r="13" spans="1:41" x14ac:dyDescent="0.25">
      <c r="A13" t="s">
        <v>40</v>
      </c>
      <c r="B13" s="2">
        <v>45982</v>
      </c>
      <c r="C13">
        <v>32.549999999999997</v>
      </c>
      <c r="D13" t="s">
        <v>32</v>
      </c>
      <c r="E13" s="2">
        <f t="shared" si="28"/>
        <v>46128</v>
      </c>
      <c r="F13" s="3">
        <v>40.5</v>
      </c>
      <c r="G13" s="4">
        <v>0.05</v>
      </c>
      <c r="H13" s="5">
        <v>0.25590000000000002</v>
      </c>
      <c r="I13" s="6" cm="1">
        <f t="array" ref="I13">BRISTO.BDAYS(B13,E13,holiday_b3[])</f>
        <v>97</v>
      </c>
      <c r="J13" s="7">
        <f t="shared" si="13"/>
        <v>0.38492063492063494</v>
      </c>
      <c r="K13" s="8">
        <v>0.14712500000000001</v>
      </c>
      <c r="L13" s="6" cm="1">
        <f t="array" ref="L13">BRISTO.BDAYS(B13,E13,holiday_br[])</f>
        <v>99</v>
      </c>
      <c r="M13" s="9">
        <f t="shared" si="14"/>
        <v>0.94750496230696735</v>
      </c>
      <c r="N13" s="9">
        <f t="shared" si="15"/>
        <v>0.9813949108225215</v>
      </c>
      <c r="O13" s="5">
        <f t="shared" si="16"/>
        <v>9.1298726588784296E-2</v>
      </c>
      <c r="P13" s="7">
        <f t="shared" si="17"/>
        <v>-1.075666399485997</v>
      </c>
      <c r="Q13" s="7">
        <f t="shared" si="18"/>
        <v>-1.2344318070622606</v>
      </c>
      <c r="R13">
        <f t="shared" si="12"/>
        <v>1</v>
      </c>
      <c r="S13" s="10">
        <f t="shared" si="19"/>
        <v>0.34100220759256172</v>
      </c>
      <c r="T13" s="11">
        <f>(_xlfn.NORM.S.DIST(P13, TRUE)-IF(D13="P",1,0))*N13</f>
        <v>0.13841421085583885</v>
      </c>
      <c r="U13" s="5">
        <f t="shared" si="20"/>
        <v>4.2481025821467039E-2</v>
      </c>
      <c r="V13" s="12">
        <f t="shared" si="21"/>
        <v>4.433415758299156</v>
      </c>
      <c r="W13" s="13">
        <f t="shared" si="22"/>
        <v>-7.4962034251280967E-3</v>
      </c>
      <c r="X13" s="13">
        <v>5.4032</v>
      </c>
      <c r="Y13" s="6">
        <v>1000000</v>
      </c>
      <c r="Z13" s="3">
        <f t="shared" si="23"/>
        <v>83300.17963504752</v>
      </c>
      <c r="AA13" s="6">
        <f>Y13*T13</f>
        <v>138414.21085583884</v>
      </c>
      <c r="AC13" s="2" cm="1">
        <f t="array" ref="AC13:AF13">_xlfn.XLOOKUP(E13,$J$26:$J$35,$J$26:$M$35,"",-1)</f>
        <v>46112</v>
      </c>
      <c r="AD13">
        <v>88</v>
      </c>
      <c r="AE13">
        <v>0.34920634920634919</v>
      </c>
      <c r="AF13">
        <v>1.0492985135724895</v>
      </c>
      <c r="AG13" s="2" cm="1">
        <f t="array" ref="AG13:AJ13">_xlfn.XLOOKUP(E13,$J$26:$J$35,$J$26:$M$35,"",1)</f>
        <v>46142</v>
      </c>
      <c r="AH13">
        <v>108</v>
      </c>
      <c r="AI13">
        <v>0.42857142857142855</v>
      </c>
      <c r="AJ13" s="12">
        <v>1.060461050053632</v>
      </c>
      <c r="AK13" s="13">
        <f t="shared" si="24"/>
        <v>1.0106380942474968</v>
      </c>
      <c r="AL13" s="6">
        <v>11</v>
      </c>
      <c r="AM13">
        <f t="shared" si="25"/>
        <v>1.0058370187089534</v>
      </c>
      <c r="AN13">
        <f t="shared" si="26"/>
        <v>1.055423288627489</v>
      </c>
      <c r="AO13" s="15">
        <f t="shared" si="27"/>
        <v>0.14717990560500693</v>
      </c>
    </row>
    <row r="15" spans="1:41" x14ac:dyDescent="0.25">
      <c r="S15" s="13"/>
      <c r="T15" s="13"/>
      <c r="U15" s="13"/>
      <c r="V15" s="13"/>
      <c r="W15" s="13"/>
      <c r="X15" s="8"/>
      <c r="Y15" s="12"/>
    </row>
    <row r="16" spans="1:41" x14ac:dyDescent="0.25">
      <c r="B16" s="1" t="s">
        <v>5</v>
      </c>
      <c r="C16" s="1" t="s">
        <v>6</v>
      </c>
      <c r="D16" s="1" t="s">
        <v>7</v>
      </c>
      <c r="E16" s="1" t="s">
        <v>8</v>
      </c>
      <c r="F16" s="1" t="s">
        <v>9</v>
      </c>
      <c r="G16" s="1" t="s">
        <v>10</v>
      </c>
      <c r="H16" s="1" t="s">
        <v>11</v>
      </c>
      <c r="I16" s="1" t="s">
        <v>12</v>
      </c>
      <c r="J16" s="1" t="s">
        <v>13</v>
      </c>
      <c r="K16" s="1" t="s">
        <v>14</v>
      </c>
      <c r="L16" s="1" t="s">
        <v>15</v>
      </c>
      <c r="M16" s="1" t="s">
        <v>16</v>
      </c>
      <c r="N16" s="1" t="s">
        <v>17</v>
      </c>
      <c r="O16" s="1" t="s">
        <v>18</v>
      </c>
      <c r="P16" s="1" t="s">
        <v>19</v>
      </c>
      <c r="Q16" s="1" t="s">
        <v>20</v>
      </c>
      <c r="R16" s="1" t="s">
        <v>21</v>
      </c>
      <c r="S16" s="1" t="s">
        <v>22</v>
      </c>
      <c r="T16" s="1" t="s">
        <v>23</v>
      </c>
      <c r="U16" s="1" t="s">
        <v>24</v>
      </c>
      <c r="V16" s="1" t="s">
        <v>25</v>
      </c>
      <c r="W16" s="1" t="s">
        <v>26</v>
      </c>
      <c r="X16" s="1" t="s">
        <v>27</v>
      </c>
      <c r="Y16" s="1" t="s">
        <v>28</v>
      </c>
      <c r="Z16" s="1" t="s">
        <v>29</v>
      </c>
      <c r="AA16" s="1" t="s">
        <v>30</v>
      </c>
      <c r="AB16" s="1" t="s">
        <v>58</v>
      </c>
      <c r="AC16" s="1" t="s">
        <v>59</v>
      </c>
    </row>
    <row r="17" spans="1:29" x14ac:dyDescent="0.25">
      <c r="A17" t="s">
        <v>40</v>
      </c>
      <c r="B17" s="2">
        <v>45982</v>
      </c>
      <c r="C17">
        <v>32.549999999999997</v>
      </c>
      <c r="D17" t="s">
        <v>31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9">
        <f>1/((1+K17)^(L17/252))</f>
        <v>0.94698901788845258</v>
      </c>
      <c r="N17" s="9">
        <f>1/((1+G17)^J17)</f>
        <v>0.98120491961691236</v>
      </c>
      <c r="O17" s="5">
        <f>LN(N17/M17)/J17</f>
        <v>9.1269848235710271E-2</v>
      </c>
      <c r="P17" s="7">
        <f>(LN(C17/F17) + (O17 + (H17^2)/2)*J17) / (H17*SQRT(J17))</f>
        <v>0.32161390232759329</v>
      </c>
      <c r="Q17" s="7">
        <f>P17-H17*SQRT(J17)</f>
        <v>0.17138635824861956</v>
      </c>
      <c r="R17">
        <f t="shared" ref="R17:R20" si="29">IF(D17="C",1,-1)</f>
        <v>-1</v>
      </c>
      <c r="S17" s="10" cm="1">
        <f t="array" ref="S17:W17">BRISTO.OPT_EURO(C17,D17,J17,F17,N17,M17,H17,A17)</f>
        <v>1.3536688595566007</v>
      </c>
      <c r="T17" s="11">
        <v>-0.36684563955883881</v>
      </c>
      <c r="U17" s="5">
        <v>7.6016608331291924E-2</v>
      </c>
      <c r="V17" s="12">
        <v>7.5452356716946127</v>
      </c>
      <c r="W17" s="13">
        <v>-4.5440913921305009E-3</v>
      </c>
      <c r="X17" s="13">
        <v>5.4032</v>
      </c>
      <c r="Y17" s="6">
        <v>1000000</v>
      </c>
      <c r="Z17" s="3">
        <f>Y17*U17*C17*1%*C17/X17</f>
        <v>149059.42139569996</v>
      </c>
      <c r="AA17" s="6">
        <f>Y17*T17</f>
        <v>-366845.6395588388</v>
      </c>
      <c r="AB17" s="5" cm="1">
        <f t="array" ref="AB17">BRISTO.OPT_IVOL(S17,C17,D17,F17,J17,N17,M17)</f>
        <v>0.24090290069580078</v>
      </c>
      <c r="AC17" s="5">
        <f>AB17-H17</f>
        <v>2.9006958007782302E-6</v>
      </c>
    </row>
    <row r="18" spans="1:29" x14ac:dyDescent="0.25">
      <c r="A18" t="s">
        <v>40</v>
      </c>
      <c r="B18" s="2">
        <v>45982</v>
      </c>
      <c r="C18">
        <v>32.549999999999997</v>
      </c>
      <c r="D18" t="s">
        <v>32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 t="shared" ref="J18:J20" si="30">I18/252</f>
        <v>0.3888888888888889</v>
      </c>
      <c r="K18" s="8">
        <v>0.14712500000000001</v>
      </c>
      <c r="L18" s="6" cm="1">
        <f t="array" ref="L18">BRISTO.BDAYS(B18,E18,holiday_br[])</f>
        <v>100</v>
      </c>
      <c r="M18" s="9">
        <f t="shared" ref="M18:M20" si="31">1/((1+K18)^(L18/252))</f>
        <v>0.94698901788845258</v>
      </c>
      <c r="N18" s="9">
        <f t="shared" ref="N18:N20" si="32">1/((1+G18)^J18)</f>
        <v>1</v>
      </c>
      <c r="O18" s="5">
        <f t="shared" ref="O18:O20" si="33">LN(N18/M18)/J18</f>
        <v>0.14006001240514271</v>
      </c>
      <c r="P18" s="7">
        <f t="shared" ref="P18:P20" si="34">(LN(C18/F18) + (O18 + (H18^2)/2)*J18) / (H18*SQRT(J18))</f>
        <v>0.44791532627007996</v>
      </c>
      <c r="Q18" s="7">
        <f t="shared" ref="Q18:Q20" si="35">P18-H18*SQRT(J18)</f>
        <v>0.29768778219110625</v>
      </c>
      <c r="R18">
        <f t="shared" si="29"/>
        <v>1</v>
      </c>
      <c r="S18" s="10" cm="1">
        <f t="array" ref="S18:W18">BRISTO.OPT_EURO(C18,D18,J18,F18,N18,M18,H18,A18)</f>
        <v>2.9122641694236968</v>
      </c>
      <c r="T18" s="11">
        <v>0.6728928465287034</v>
      </c>
      <c r="U18" s="5">
        <v>7.3797841347946203E-2</v>
      </c>
      <c r="V18" s="12">
        <v>7.3250059066811817</v>
      </c>
      <c r="W18" s="13">
        <v>-1.9557773779967841E-2</v>
      </c>
      <c r="X18" s="13">
        <v>5.4032</v>
      </c>
      <c r="Y18" s="6">
        <v>1000000</v>
      </c>
      <c r="Z18" s="3">
        <f t="shared" ref="Z18:Z20" si="36">Y18*U18*C18*1%*C18/X18</f>
        <v>144708.68633911823</v>
      </c>
      <c r="AA18" s="6">
        <f>Y18*T18</f>
        <v>672892.84652870335</v>
      </c>
      <c r="AB18" s="5" cm="1">
        <f t="array" ref="AB18">BRISTO.OPT_IVOL(S18,C18,D18,F18,J18,N18,M18)</f>
        <v>0.24090290069580078</v>
      </c>
      <c r="AC18" s="5">
        <f t="shared" ref="AC18:AC20" si="37">AB18-H18</f>
        <v>2.9006958007782302E-6</v>
      </c>
    </row>
    <row r="19" spans="1:29" x14ac:dyDescent="0.25">
      <c r="A19" t="s">
        <v>40</v>
      </c>
      <c r="B19" s="2">
        <v>45982</v>
      </c>
      <c r="C19">
        <v>32.549999999999997</v>
      </c>
      <c r="D19" t="s">
        <v>31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 t="shared" si="30"/>
        <v>0.3888888888888889</v>
      </c>
      <c r="K19" s="8">
        <v>0.14712500000000001</v>
      </c>
      <c r="L19" s="6" cm="1">
        <f t="array" ref="L19">BRISTO.BDAYS(B19,E19,holiday_br[])</f>
        <v>100</v>
      </c>
      <c r="M19" s="9">
        <f t="shared" si="31"/>
        <v>0.94698901788845258</v>
      </c>
      <c r="N19" s="9">
        <f t="shared" si="32"/>
        <v>1</v>
      </c>
      <c r="O19" s="5">
        <f t="shared" si="33"/>
        <v>0.14006001240514271</v>
      </c>
      <c r="P19" s="7">
        <f t="shared" si="34"/>
        <v>-0.94825206878691815</v>
      </c>
      <c r="Q19" s="7">
        <f t="shared" si="35"/>
        <v>-1.1078337563328267</v>
      </c>
      <c r="R19">
        <f t="shared" si="29"/>
        <v>-1</v>
      </c>
      <c r="S19" s="10" cm="1">
        <f t="array" ref="S19:W19">BRISTO.OPT_EURO(C19,D19,J19,F19,N19,M19,H19,A19)</f>
        <v>6.2473624302637525</v>
      </c>
      <c r="T19" s="11">
        <v>-0.82849942725574399</v>
      </c>
      <c r="U19" s="5">
        <v>4.8991544616826962E-2</v>
      </c>
      <c r="V19" s="12">
        <v>5.1655781791054469</v>
      </c>
      <c r="W19" s="13">
        <v>1.1716456065499861E-2</v>
      </c>
      <c r="X19" s="13">
        <v>5.4032</v>
      </c>
      <c r="Y19" s="6">
        <v>1000000</v>
      </c>
      <c r="Z19" s="3">
        <f t="shared" si="36"/>
        <v>96066.523542326235</v>
      </c>
      <c r="AA19" s="6">
        <f>Y19*T19</f>
        <v>-828499.427255744</v>
      </c>
      <c r="AB19" s="5" cm="1">
        <f t="array" ref="AB19">BRISTO.OPT_IVOL(S19,C19,D19,F19,J19,N19,M19)</f>
        <v>0.25590419769287109</v>
      </c>
      <c r="AC19" s="5">
        <f t="shared" si="37"/>
        <v>4.1976928710774075E-6</v>
      </c>
    </row>
    <row r="20" spans="1:29" x14ac:dyDescent="0.25">
      <c r="A20" t="s">
        <v>40</v>
      </c>
      <c r="B20" s="2">
        <v>45982</v>
      </c>
      <c r="C20">
        <v>32.549999999999997</v>
      </c>
      <c r="D20" t="s">
        <v>32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 t="shared" si="30"/>
        <v>0.3888888888888889</v>
      </c>
      <c r="K20" s="8">
        <v>0.14712500000000001</v>
      </c>
      <c r="L20" s="6" cm="1">
        <f t="array" ref="L20">BRISTO.BDAYS(B20,E20,holiday_br[])</f>
        <v>100</v>
      </c>
      <c r="M20" s="9">
        <f t="shared" si="31"/>
        <v>0.94698901788845258</v>
      </c>
      <c r="N20" s="9">
        <f t="shared" si="32"/>
        <v>0.98120491961691236</v>
      </c>
      <c r="O20" s="5">
        <f t="shared" si="33"/>
        <v>9.1269848235710271E-2</v>
      </c>
      <c r="P20" s="7">
        <f t="shared" si="34"/>
        <v>-1.0671501267304313</v>
      </c>
      <c r="Q20" s="7">
        <f t="shared" si="35"/>
        <v>-1.2267318142763399</v>
      </c>
      <c r="R20">
        <f t="shared" si="29"/>
        <v>1</v>
      </c>
      <c r="S20" s="10" cm="1">
        <f t="array" ref="S20:W20">BRISTO.OPT_EURO(C20,D20,J20,F20,N20,M20,H20,A20)</f>
        <v>0.34826596459266523</v>
      </c>
      <c r="T20" s="11">
        <v>0.14026522989850662</v>
      </c>
      <c r="U20" s="5">
        <v>4.2642869268756892E-2</v>
      </c>
      <c r="V20" s="12">
        <v>4.4961855502200221</v>
      </c>
      <c r="W20" s="13">
        <v>-7.539433415031823E-3</v>
      </c>
      <c r="X20" s="13">
        <v>5.4032</v>
      </c>
      <c r="Y20" s="6">
        <v>1000000</v>
      </c>
      <c r="Z20" s="3">
        <f t="shared" si="36"/>
        <v>83617.535159574123</v>
      </c>
      <c r="AA20" s="6">
        <f>Y20*T20</f>
        <v>140265.22989850663</v>
      </c>
      <c r="AB20" s="5" cm="1">
        <f t="array" ref="AB20">BRISTO.OPT_IVOL(S20,C20,D20,F20,J20,N20,M20)</f>
        <v>0.25590419769287109</v>
      </c>
      <c r="AC20" s="5">
        <f t="shared" si="37"/>
        <v>4.1976928710774075E-6</v>
      </c>
    </row>
    <row r="21" spans="1:29" x14ac:dyDescent="0.25">
      <c r="S21" s="13"/>
      <c r="T21" s="13"/>
      <c r="U21" s="13"/>
      <c r="V21" s="13"/>
      <c r="W21" s="13"/>
      <c r="X21" s="8"/>
      <c r="Y21" s="12"/>
    </row>
    <row r="22" spans="1:29" x14ac:dyDescent="0.25">
      <c r="S22" s="13">
        <f t="shared" ref="S22:AA22" si="38">S3-S17</f>
        <v>1.7763568394002505E-15</v>
      </c>
      <c r="T22" s="13">
        <f t="shared" si="38"/>
        <v>0</v>
      </c>
      <c r="U22" s="13">
        <f t="shared" si="38"/>
        <v>0</v>
      </c>
      <c r="V22" s="13">
        <f t="shared" si="38"/>
        <v>0</v>
      </c>
      <c r="W22" s="13">
        <f t="shared" si="38"/>
        <v>0</v>
      </c>
      <c r="X22" s="13">
        <f t="shared" si="38"/>
        <v>0</v>
      </c>
      <c r="Y22" s="13">
        <f t="shared" si="38"/>
        <v>0</v>
      </c>
      <c r="Z22" s="13">
        <f t="shared" si="38"/>
        <v>0</v>
      </c>
      <c r="AA22" s="13">
        <f t="shared" si="38"/>
        <v>0</v>
      </c>
    </row>
    <row r="23" spans="1:29" x14ac:dyDescent="0.25">
      <c r="S23" s="13">
        <f t="shared" ref="S23:AA23" si="39">S4-S18</f>
        <v>0</v>
      </c>
      <c r="T23" s="13">
        <f t="shared" si="39"/>
        <v>0</v>
      </c>
      <c r="U23" s="13">
        <f t="shared" si="39"/>
        <v>0</v>
      </c>
      <c r="V23" s="13">
        <f t="shared" si="39"/>
        <v>0</v>
      </c>
      <c r="W23" s="13">
        <f t="shared" si="39"/>
        <v>0</v>
      </c>
      <c r="X23" s="13">
        <f t="shared" si="39"/>
        <v>0</v>
      </c>
      <c r="Y23" s="13">
        <f t="shared" si="39"/>
        <v>0</v>
      </c>
      <c r="Z23" s="13">
        <f t="shared" si="39"/>
        <v>0</v>
      </c>
      <c r="AA23" s="13">
        <f t="shared" si="39"/>
        <v>0</v>
      </c>
    </row>
    <row r="24" spans="1:29" x14ac:dyDescent="0.25">
      <c r="S24" s="13">
        <f t="shared" ref="S24:AA24" si="40">S5-S19</f>
        <v>0</v>
      </c>
      <c r="T24" s="13">
        <f t="shared" si="40"/>
        <v>0</v>
      </c>
      <c r="U24" s="13">
        <f t="shared" si="40"/>
        <v>0</v>
      </c>
      <c r="V24" s="13">
        <f t="shared" si="40"/>
        <v>0</v>
      </c>
      <c r="W24" s="13">
        <f t="shared" si="40"/>
        <v>0</v>
      </c>
      <c r="X24" s="13">
        <f t="shared" si="40"/>
        <v>0</v>
      </c>
      <c r="Y24" s="13">
        <f t="shared" si="40"/>
        <v>0</v>
      </c>
      <c r="Z24" s="13">
        <f t="shared" si="40"/>
        <v>0</v>
      </c>
      <c r="AA24" s="13">
        <f t="shared" si="40"/>
        <v>0</v>
      </c>
    </row>
    <row r="25" spans="1:29" x14ac:dyDescent="0.25">
      <c r="F25" s="14" t="s">
        <v>5</v>
      </c>
      <c r="G25" s="14" t="s">
        <v>41</v>
      </c>
      <c r="H25" s="14" t="s">
        <v>42</v>
      </c>
      <c r="I25" s="14" t="s">
        <v>43</v>
      </c>
      <c r="J25" s="14" t="s">
        <v>35</v>
      </c>
      <c r="K25" s="14" t="s">
        <v>36</v>
      </c>
      <c r="L25" s="14" t="s">
        <v>13</v>
      </c>
      <c r="M25" s="14" t="s">
        <v>44</v>
      </c>
      <c r="S25" s="13">
        <f t="shared" ref="S25:AA25" si="41">S6-S20</f>
        <v>0</v>
      </c>
      <c r="T25" s="13">
        <f t="shared" si="41"/>
        <v>0</v>
      </c>
      <c r="U25" s="13">
        <f t="shared" si="41"/>
        <v>0</v>
      </c>
      <c r="V25" s="13">
        <f t="shared" si="41"/>
        <v>0</v>
      </c>
      <c r="W25" s="13">
        <f t="shared" si="41"/>
        <v>0</v>
      </c>
      <c r="X25" s="13">
        <f t="shared" si="41"/>
        <v>0</v>
      </c>
      <c r="Y25" s="13">
        <f t="shared" si="41"/>
        <v>0</v>
      </c>
      <c r="Z25" s="13">
        <f t="shared" si="41"/>
        <v>0</v>
      </c>
      <c r="AA25" s="13">
        <f t="shared" si="41"/>
        <v>0</v>
      </c>
    </row>
    <row r="26" spans="1:29" x14ac:dyDescent="0.25">
      <c r="B26" t="s">
        <v>45</v>
      </c>
      <c r="C26">
        <v>1</v>
      </c>
      <c r="E26">
        <v>1</v>
      </c>
      <c r="F26" s="2">
        <v>45982</v>
      </c>
      <c r="G26" s="2">
        <f>EOMONTH(F26,E26-1)+1</f>
        <v>45992</v>
      </c>
      <c r="H26" t="str">
        <f>"DI1"&amp;_xlfn.XLOOKUP(MONTH(G26),$C$26:$C$37,$B$26:$B$37,"",0)&amp;YEAR(G26)</f>
        <v>DI1Z2025</v>
      </c>
      <c r="I26" s="3">
        <v>14.9</v>
      </c>
      <c r="J26" s="2">
        <v>45989</v>
      </c>
      <c r="K26" s="6" cm="1">
        <f t="array" ref="K26">BRISTO.BDAYS(F26,J26,holiday_br[])</f>
        <v>5</v>
      </c>
      <c r="L26">
        <f>K26/252</f>
        <v>1.984126984126984E-2</v>
      </c>
      <c r="M26">
        <f>(1+I26/100)^L26</f>
        <v>1.0027595943180705</v>
      </c>
      <c r="T26" s="13"/>
      <c r="U26" s="13"/>
      <c r="V26" s="13"/>
      <c r="W26" s="13"/>
    </row>
    <row r="27" spans="1:29" x14ac:dyDescent="0.25">
      <c r="B27" t="s">
        <v>46</v>
      </c>
      <c r="C27">
        <f>C26+1</f>
        <v>2</v>
      </c>
      <c r="E27">
        <f>E26+1</f>
        <v>2</v>
      </c>
      <c r="F27" s="2">
        <v>45982</v>
      </c>
      <c r="G27" s="2">
        <f t="shared" ref="G27:G35" si="42">EOMONTH(F27,E27-1)+1</f>
        <v>46023</v>
      </c>
      <c r="H27" t="str">
        <f t="shared" ref="H27:H35" si="43">"DI1"&amp;_xlfn.XLOOKUP(MONTH(G27),$C$26:$C$37,$B$26:$B$37,"",0)&amp;YEAR(G27)</f>
        <v>DI1F2026</v>
      </c>
      <c r="I27">
        <v>14.895</v>
      </c>
      <c r="J27" s="2">
        <v>46022</v>
      </c>
      <c r="K27" s="6" cm="1">
        <f t="array" ref="K27">BRISTO.BDAYS(F27,J27,holiday_br[])</f>
        <v>27</v>
      </c>
      <c r="L27">
        <f t="shared" ref="L27:L35" si="44">K27/252</f>
        <v>0.10714285714285714</v>
      </c>
      <c r="M27">
        <f t="shared" ref="M27:M35" si="45">(1+I27/100)^L27</f>
        <v>1.0149878307895897</v>
      </c>
      <c r="T27" s="13"/>
      <c r="U27" s="13"/>
      <c r="V27" s="13"/>
      <c r="W27" s="13"/>
    </row>
    <row r="28" spans="1:29" x14ac:dyDescent="0.25">
      <c r="B28" t="s">
        <v>47</v>
      </c>
      <c r="C28">
        <f t="shared" ref="C28:C37" si="46">C27+1</f>
        <v>3</v>
      </c>
      <c r="E28">
        <f t="shared" ref="E28:E35" si="47">E27+1</f>
        <v>3</v>
      </c>
      <c r="F28" s="2">
        <v>45982</v>
      </c>
      <c r="G28" s="2">
        <f t="shared" si="42"/>
        <v>46054</v>
      </c>
      <c r="H28" t="str">
        <f t="shared" si="43"/>
        <v>DI1G2026</v>
      </c>
      <c r="I28">
        <v>14.894</v>
      </c>
      <c r="J28" s="2">
        <v>46052</v>
      </c>
      <c r="K28" s="6" cm="1">
        <f t="array" ref="K28">BRISTO.BDAYS(F28,J28,holiday_br[])</f>
        <v>48</v>
      </c>
      <c r="L28">
        <f t="shared" si="44"/>
        <v>0.19047619047619047</v>
      </c>
      <c r="M28">
        <f t="shared" si="45"/>
        <v>1.0267984618751003</v>
      </c>
      <c r="T28" s="13"/>
      <c r="U28" s="13"/>
      <c r="V28" s="13"/>
      <c r="W28" s="13"/>
    </row>
    <row r="29" spans="1:29" x14ac:dyDescent="0.25">
      <c r="B29" t="s">
        <v>48</v>
      </c>
      <c r="C29">
        <f t="shared" si="46"/>
        <v>4</v>
      </c>
      <c r="E29">
        <f t="shared" si="47"/>
        <v>4</v>
      </c>
      <c r="F29" s="2">
        <v>45982</v>
      </c>
      <c r="G29" s="2">
        <f t="shared" si="42"/>
        <v>46082</v>
      </c>
      <c r="H29" t="str">
        <f t="shared" si="43"/>
        <v>DI1H2026</v>
      </c>
      <c r="I29">
        <v>14.845000000000001</v>
      </c>
      <c r="J29" s="2">
        <v>46080</v>
      </c>
      <c r="K29" s="6" cm="1">
        <f t="array" ref="K29">BRISTO.BDAYS(F29,J29,holiday_br[])</f>
        <v>66</v>
      </c>
      <c r="L29">
        <f t="shared" si="44"/>
        <v>0.26190476190476192</v>
      </c>
      <c r="M29">
        <f t="shared" si="45"/>
        <v>1.0369161607121695</v>
      </c>
      <c r="T29" s="13"/>
      <c r="U29" s="13"/>
      <c r="V29" s="13"/>
      <c r="W29" s="13"/>
    </row>
    <row r="30" spans="1:29" x14ac:dyDescent="0.25">
      <c r="B30" t="s">
        <v>49</v>
      </c>
      <c r="C30">
        <f t="shared" si="46"/>
        <v>5</v>
      </c>
      <c r="E30">
        <f t="shared" si="47"/>
        <v>5</v>
      </c>
      <c r="F30" s="2">
        <v>45982</v>
      </c>
      <c r="G30" s="2">
        <f t="shared" si="42"/>
        <v>46113</v>
      </c>
      <c r="H30" t="str">
        <f t="shared" si="43"/>
        <v>DI1J2026</v>
      </c>
      <c r="I30">
        <v>14.775</v>
      </c>
      <c r="J30" s="2">
        <v>46112</v>
      </c>
      <c r="K30" s="6" cm="1">
        <f t="array" ref="K30">BRISTO.BDAYS(F30,J30,holiday_br[])</f>
        <v>88</v>
      </c>
      <c r="L30">
        <f t="shared" si="44"/>
        <v>0.34920634920634919</v>
      </c>
      <c r="M30">
        <f t="shared" si="45"/>
        <v>1.0492985135724895</v>
      </c>
      <c r="S30" s="5"/>
    </row>
    <row r="31" spans="1:29" x14ac:dyDescent="0.25">
      <c r="B31" t="s">
        <v>50</v>
      </c>
      <c r="C31">
        <f t="shared" si="46"/>
        <v>6</v>
      </c>
      <c r="E31">
        <f t="shared" si="47"/>
        <v>6</v>
      </c>
      <c r="F31" s="2">
        <v>45982</v>
      </c>
      <c r="G31" s="2">
        <f t="shared" si="42"/>
        <v>46143</v>
      </c>
      <c r="H31" t="str">
        <f t="shared" si="43"/>
        <v>DI1K2026</v>
      </c>
      <c r="I31">
        <v>14.68</v>
      </c>
      <c r="J31" s="2">
        <v>46142</v>
      </c>
      <c r="K31" s="6" cm="1">
        <f t="array" ref="K31">BRISTO.BDAYS(F31,J31,holiday_br[])</f>
        <v>108</v>
      </c>
      <c r="L31">
        <f t="shared" si="44"/>
        <v>0.42857142857142855</v>
      </c>
      <c r="M31">
        <f t="shared" si="45"/>
        <v>1.060461050053632</v>
      </c>
    </row>
    <row r="32" spans="1:29" x14ac:dyDescent="0.25">
      <c r="B32" t="s">
        <v>51</v>
      </c>
      <c r="C32">
        <f t="shared" si="46"/>
        <v>7</v>
      </c>
      <c r="E32">
        <f t="shared" si="47"/>
        <v>7</v>
      </c>
      <c r="F32" s="2">
        <v>45982</v>
      </c>
      <c r="G32" s="2">
        <f t="shared" si="42"/>
        <v>46174</v>
      </c>
      <c r="H32" t="str">
        <f t="shared" si="43"/>
        <v>DI1M2026</v>
      </c>
      <c r="I32">
        <v>14.54</v>
      </c>
      <c r="J32" s="2">
        <v>46171</v>
      </c>
      <c r="K32" s="6" cm="1">
        <f t="array" ref="K32">BRISTO.BDAYS(F32,J32,holiday_br[])</f>
        <v>128</v>
      </c>
      <c r="L32">
        <f t="shared" si="44"/>
        <v>0.50793650793650791</v>
      </c>
      <c r="M32">
        <f t="shared" si="45"/>
        <v>1.0713873233723397</v>
      </c>
    </row>
    <row r="33" spans="2:19" x14ac:dyDescent="0.25">
      <c r="B33" t="s">
        <v>52</v>
      </c>
      <c r="C33">
        <f t="shared" si="46"/>
        <v>8</v>
      </c>
      <c r="E33">
        <f t="shared" si="47"/>
        <v>8</v>
      </c>
      <c r="F33" s="2">
        <v>45982</v>
      </c>
      <c r="G33" s="2">
        <f t="shared" si="42"/>
        <v>46204</v>
      </c>
      <c r="H33" t="str">
        <f t="shared" si="43"/>
        <v>DI1N2026</v>
      </c>
      <c r="I33">
        <v>14.414999999999999</v>
      </c>
      <c r="J33" s="2">
        <v>46203</v>
      </c>
      <c r="K33" s="6" cm="1">
        <f t="array" ref="K33">BRISTO.BDAYS(F33,J33,holiday_br[])</f>
        <v>149</v>
      </c>
      <c r="L33">
        <f t="shared" si="44"/>
        <v>0.59126984126984128</v>
      </c>
      <c r="M33">
        <f t="shared" si="45"/>
        <v>1.0828772091264154</v>
      </c>
      <c r="S33" s="5"/>
    </row>
    <row r="34" spans="2:19" x14ac:dyDescent="0.25">
      <c r="B34" t="s">
        <v>53</v>
      </c>
      <c r="C34">
        <f t="shared" si="46"/>
        <v>9</v>
      </c>
      <c r="E34">
        <f t="shared" si="47"/>
        <v>9</v>
      </c>
      <c r="F34" s="2">
        <v>45982</v>
      </c>
      <c r="G34" s="2">
        <f t="shared" si="42"/>
        <v>46235</v>
      </c>
      <c r="H34" t="str">
        <f t="shared" si="43"/>
        <v>DI1Q2026</v>
      </c>
      <c r="I34">
        <v>14.28</v>
      </c>
      <c r="J34" s="2">
        <v>46234</v>
      </c>
      <c r="K34" s="6" cm="1">
        <f t="array" ref="K34">BRISTO.BDAYS(F34,J34,holiday_br[])</f>
        <v>172</v>
      </c>
      <c r="L34">
        <f t="shared" si="44"/>
        <v>0.68253968253968256</v>
      </c>
      <c r="M34">
        <f t="shared" si="45"/>
        <v>1.0953854894705597</v>
      </c>
    </row>
    <row r="35" spans="2:19" x14ac:dyDescent="0.25">
      <c r="B35" t="s">
        <v>54</v>
      </c>
      <c r="C35">
        <f t="shared" si="46"/>
        <v>10</v>
      </c>
      <c r="E35">
        <f t="shared" si="47"/>
        <v>10</v>
      </c>
      <c r="F35" s="2">
        <v>45982</v>
      </c>
      <c r="G35" s="2">
        <f t="shared" si="42"/>
        <v>46266</v>
      </c>
      <c r="H35" t="str">
        <f t="shared" si="43"/>
        <v>DI1U2026</v>
      </c>
      <c r="I35">
        <v>14.14</v>
      </c>
      <c r="J35" s="2">
        <v>46265</v>
      </c>
      <c r="K35" s="6" cm="1">
        <f t="array" ref="K35">BRISTO.BDAYS(F35,J35,holiday_br[])</f>
        <v>193</v>
      </c>
      <c r="L35">
        <f t="shared" si="44"/>
        <v>0.76587301587301593</v>
      </c>
      <c r="M35">
        <f t="shared" si="45"/>
        <v>1.1065985921458159</v>
      </c>
    </row>
    <row r="36" spans="2:19" x14ac:dyDescent="0.25">
      <c r="B36" t="s">
        <v>55</v>
      </c>
      <c r="C36">
        <f t="shared" si="46"/>
        <v>11</v>
      </c>
    </row>
    <row r="37" spans="2:19" x14ac:dyDescent="0.25">
      <c r="B37" t="s">
        <v>56</v>
      </c>
      <c r="C37">
        <f t="shared" si="46"/>
        <v>12</v>
      </c>
      <c r="O37" s="16"/>
      <c r="P37" s="16"/>
      <c r="Q37" s="16"/>
      <c r="R37" s="16"/>
      <c r="S37" s="16"/>
    </row>
    <row r="38" spans="2:19" x14ac:dyDescent="0.25">
      <c r="O38" s="16"/>
      <c r="P38" s="16"/>
      <c r="Q38" s="16"/>
      <c r="R38" s="16"/>
      <c r="S38" s="16"/>
    </row>
    <row r="39" spans="2:19" x14ac:dyDescent="0.25">
      <c r="O39" s="16"/>
      <c r="P39" s="16"/>
      <c r="Q39" s="16"/>
      <c r="R39" s="16"/>
      <c r="S39" s="16"/>
    </row>
    <row r="40" spans="2:19" x14ac:dyDescent="0.25">
      <c r="O40" s="16"/>
      <c r="P40" s="16"/>
      <c r="Q40" s="16"/>
      <c r="R40" s="16"/>
      <c r="S40" s="16"/>
    </row>
  </sheetData>
  <mergeCells count="2">
    <mergeCell ref="AC8:AF8"/>
    <mergeCell ref="AG8:AJ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F7FD-9DF8-400F-84F6-AE605FFC9B81}">
  <dimension ref="A5:AD31"/>
  <sheetViews>
    <sheetView workbookViewId="0">
      <selection activeCell="F24" sqref="F24"/>
    </sheetView>
  </sheetViews>
  <sheetFormatPr defaultRowHeight="15" x14ac:dyDescent="0.25"/>
  <cols>
    <col min="2" max="2" width="9.85546875" bestFit="1" customWidth="1"/>
    <col min="3" max="3" width="10" bestFit="1" customWidth="1"/>
    <col min="5" max="5" width="13.85546875" bestFit="1" customWidth="1"/>
    <col min="10" max="10" width="10.5703125" bestFit="1" customWidth="1"/>
    <col min="11" max="11" width="13.85546875" bestFit="1" customWidth="1"/>
    <col min="16" max="16" width="11.28515625" bestFit="1" customWidth="1"/>
    <col min="17" max="17" width="8.28515625" bestFit="1" customWidth="1"/>
    <col min="18" max="18" width="3.85546875" bestFit="1" customWidth="1"/>
    <col min="25" max="25" width="10.85546875" bestFit="1" customWidth="1"/>
    <col min="26" max="26" width="14.5703125" bestFit="1" customWidth="1"/>
    <col min="27" max="27" width="11.140625" bestFit="1" customWidth="1"/>
    <col min="29" max="29" width="8.140625" bestFit="1" customWidth="1"/>
    <col min="30" max="30" width="6.140625" bestFit="1" customWidth="1"/>
  </cols>
  <sheetData>
    <row r="5" spans="1:30" x14ac:dyDescent="0.25"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16</v>
      </c>
      <c r="N5" s="1" t="s">
        <v>17</v>
      </c>
      <c r="O5" s="1" t="s">
        <v>18</v>
      </c>
      <c r="P5" s="1" t="s">
        <v>19</v>
      </c>
      <c r="Q5" s="1" t="s">
        <v>20</v>
      </c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 t="s">
        <v>26</v>
      </c>
      <c r="X5" s="1" t="s">
        <v>27</v>
      </c>
      <c r="Y5" s="1" t="s">
        <v>28</v>
      </c>
      <c r="Z5" s="1" t="s">
        <v>60</v>
      </c>
      <c r="AA5" s="1" t="s">
        <v>29</v>
      </c>
      <c r="AB5" s="1" t="s">
        <v>30</v>
      </c>
      <c r="AC5" s="1" t="s">
        <v>58</v>
      </c>
      <c r="AD5" s="1" t="s">
        <v>59</v>
      </c>
    </row>
    <row r="6" spans="1:30" x14ac:dyDescent="0.25">
      <c r="A6" t="s">
        <v>40</v>
      </c>
      <c r="B6" s="2">
        <v>45982</v>
      </c>
      <c r="C6">
        <v>100</v>
      </c>
      <c r="D6" t="s">
        <v>31</v>
      </c>
      <c r="E6" s="2">
        <v>46394</v>
      </c>
      <c r="F6" s="3">
        <f>C6*0.8</f>
        <v>80</v>
      </c>
      <c r="G6" s="4">
        <v>0</v>
      </c>
      <c r="H6" s="5">
        <v>0.2409</v>
      </c>
      <c r="I6" s="6" cm="1">
        <f t="array" ref="I6">BRISTO.BDAYS(B6,E6,holiday_b3[])</f>
        <v>276</v>
      </c>
      <c r="J6" s="7">
        <f>I6/252</f>
        <v>1.0952380952380953</v>
      </c>
      <c r="K6" s="8">
        <v>0.14712500000000001</v>
      </c>
      <c r="L6" s="6" cm="1">
        <f t="array" ref="L6">BRISTO.BDAYS(B6,E6,holiday_br[])</f>
        <v>280</v>
      </c>
      <c r="M6" s="9">
        <f>1/((1+K6)^(L6/252))</f>
        <v>0.85855048760221409</v>
      </c>
      <c r="N6" s="9">
        <f>1/((1+G6)^J6)</f>
        <v>1</v>
      </c>
      <c r="O6" s="5">
        <f>LN(N6/M6)/J6</f>
        <v>0.13924807030424352</v>
      </c>
      <c r="P6" s="12">
        <f>(LN(C6/F6) + (O6 + (H6^2)/2)*J6) / (H6*SQRT(J6))</f>
        <v>1.616089319151621</v>
      </c>
      <c r="Q6" s="12">
        <f>P6-H6*SQRT(J6)</f>
        <v>1.3639787396716747</v>
      </c>
      <c r="R6">
        <f t="shared" ref="R6:R9" si="0">IF(D6="C",1,-1)</f>
        <v>-1</v>
      </c>
      <c r="S6" s="10" cm="1">
        <f t="array" ref="S6:W6">BRISTO.OPT_EURO(C6,D6,J6,F6,N6,M6,H6,A6)</f>
        <v>0.62279834249089472</v>
      </c>
      <c r="T6" s="11">
        <v>-5.3037501585113479E-2</v>
      </c>
      <c r="U6" s="5">
        <v>4.2873194306712369E-3</v>
      </c>
      <c r="V6" s="12">
        <v>11.311786080723868</v>
      </c>
      <c r="W6" s="13">
        <v>-1.6617679655483771E-3</v>
      </c>
      <c r="X6" s="13">
        <v>5.4032</v>
      </c>
      <c r="Y6" s="6">
        <f>450000000/C6</f>
        <v>4500000</v>
      </c>
      <c r="Z6" s="3">
        <f>Y6*S6</f>
        <v>2802592.5412090262</v>
      </c>
      <c r="AA6" s="3">
        <f>Y6*U6*C6*1%*C6/X6</f>
        <v>357065.02513363498</v>
      </c>
      <c r="AB6" s="6">
        <f>Y6*T6</f>
        <v>-238668.75713301066</v>
      </c>
      <c r="AC6" s="5" cm="1">
        <f t="array" ref="AC6">BRISTO.OPT_IVOL(S6,C6,D6,F6,J6,N6,M6)</f>
        <v>0.24090290069580078</v>
      </c>
      <c r="AD6" s="5">
        <f>AC6-H6</f>
        <v>2.9006958007782302E-6</v>
      </c>
    </row>
    <row r="7" spans="1:30" x14ac:dyDescent="0.25">
      <c r="A7" t="s">
        <v>40</v>
      </c>
      <c r="B7" s="2">
        <v>45982</v>
      </c>
      <c r="C7">
        <v>100</v>
      </c>
      <c r="D7" t="s">
        <v>32</v>
      </c>
      <c r="E7" s="2">
        <v>46394</v>
      </c>
      <c r="F7" s="3">
        <f>C7*0.8</f>
        <v>80</v>
      </c>
      <c r="G7" s="4">
        <v>0</v>
      </c>
      <c r="H7" s="5">
        <v>0.2409</v>
      </c>
      <c r="I7" s="6" cm="1">
        <f t="array" ref="I7">BRISTO.BDAYS(B7,E7,holiday_b3[])</f>
        <v>276</v>
      </c>
      <c r="J7" s="7">
        <f t="shared" ref="J7:J9" si="1">I7/252</f>
        <v>1.0952380952380953</v>
      </c>
      <c r="K7" s="8">
        <v>0.14712500000000001</v>
      </c>
      <c r="L7" s="6" cm="1">
        <f t="array" ref="L7">BRISTO.BDAYS(B7,E7,holiday_br[])</f>
        <v>280</v>
      </c>
      <c r="M7" s="9">
        <f t="shared" ref="M7:M9" si="2">1/((1+K7)^(L7/252))</f>
        <v>0.85855048760221409</v>
      </c>
      <c r="N7" s="9">
        <f t="shared" ref="N7:N9" si="3">1/((1+G7)^J7)</f>
        <v>1</v>
      </c>
      <c r="O7" s="5">
        <f t="shared" ref="O7:O9" si="4">LN(N7/M7)/J7</f>
        <v>0.13924807030424352</v>
      </c>
      <c r="P7" s="12">
        <f t="shared" ref="P7:P9" si="5">(LN(C7/F7) + (O7 + (H7^2)/2)*J7) / (H7*SQRT(J7))</f>
        <v>1.616089319151621</v>
      </c>
      <c r="Q7" s="12">
        <f t="shared" ref="Q7:Q9" si="6">P7-H7*SQRT(J7)</f>
        <v>1.3639787396716747</v>
      </c>
      <c r="R7">
        <f t="shared" si="0"/>
        <v>1</v>
      </c>
      <c r="S7" s="10" cm="1">
        <f t="array" ref="S7:W7">BRISTO.OPT_EURO(C7,D7,J7,F7,N7,M7,H7,A7)</f>
        <v>31.938759334313772</v>
      </c>
      <c r="T7" s="11">
        <v>0.94696249841488656</v>
      </c>
      <c r="U7" s="5">
        <v>4.2873194306712369E-3</v>
      </c>
      <c r="V7" s="12">
        <v>11.311786080723868</v>
      </c>
      <c r="W7" s="13">
        <v>-3.9614624682175574E-2</v>
      </c>
      <c r="X7" s="13">
        <v>5.4032</v>
      </c>
      <c r="Y7" s="6">
        <f>-Y6</f>
        <v>-4500000</v>
      </c>
      <c r="Z7" s="3">
        <f t="shared" ref="Z7:Z9" si="7">Y7*S7</f>
        <v>-143724417.00441197</v>
      </c>
      <c r="AA7" s="3">
        <f t="shared" ref="AA7:AA9" si="8">Y7*U7*C7*1%*C7/X7</f>
        <v>-357065.02513363498</v>
      </c>
      <c r="AB7" s="6">
        <f>Y7*T7</f>
        <v>-4261331.2428669892</v>
      </c>
      <c r="AC7" s="5" cm="1">
        <f t="array" ref="AC7">BRISTO.OPT_IVOL(S7,C7,D7,F7,J7,N7,M7)</f>
        <v>0.24090290069580078</v>
      </c>
      <c r="AD7" s="5">
        <f t="shared" ref="AD7:AD9" si="9">AC7-H7</f>
        <v>2.9006958007782302E-6</v>
      </c>
    </row>
    <row r="8" spans="1:30" x14ac:dyDescent="0.25">
      <c r="A8" t="s">
        <v>40</v>
      </c>
      <c r="B8" s="2">
        <v>45982</v>
      </c>
      <c r="C8">
        <v>100</v>
      </c>
      <c r="D8" t="s">
        <v>31</v>
      </c>
      <c r="E8" s="2">
        <v>46394</v>
      </c>
      <c r="F8" s="3">
        <f>C8*1.2</f>
        <v>120</v>
      </c>
      <c r="G8" s="4">
        <v>0</v>
      </c>
      <c r="H8" s="5">
        <v>0.25590000000000002</v>
      </c>
      <c r="I8" s="6" cm="1">
        <f t="array" ref="I8">BRISTO.BDAYS(B8,E8,holiday_b3[])</f>
        <v>276</v>
      </c>
      <c r="J8" s="7">
        <f t="shared" si="1"/>
        <v>1.0952380952380953</v>
      </c>
      <c r="K8" s="8">
        <v>0.14712500000000001</v>
      </c>
      <c r="L8" s="6" cm="1">
        <f t="array" ref="L8">BRISTO.BDAYS(B8,E8,holiday_br[])</f>
        <v>280</v>
      </c>
      <c r="M8" s="9">
        <f t="shared" si="2"/>
        <v>0.85855048760221409</v>
      </c>
      <c r="N8" s="9">
        <f t="shared" si="3"/>
        <v>1</v>
      </c>
      <c r="O8" s="5">
        <f t="shared" si="4"/>
        <v>0.13924807030424352</v>
      </c>
      <c r="P8" s="12">
        <f t="shared" si="5"/>
        <v>2.258688950650108E-2</v>
      </c>
      <c r="Q8" s="12">
        <f t="shared" si="6"/>
        <v>-0.2452217335276137</v>
      </c>
      <c r="R8">
        <f t="shared" si="0"/>
        <v>-1</v>
      </c>
      <c r="S8" s="10" cm="1">
        <f t="array" ref="S8:W8">BRISTO.OPT_EURO(C8,D8,J8,F8,N8,M8,H8,A8)</f>
        <v>12.392898551030093</v>
      </c>
      <c r="T8" s="11">
        <v>-0.49098990090968558</v>
      </c>
      <c r="U8" s="5">
        <v>1.4892744122741185E-2</v>
      </c>
      <c r="V8" s="12">
        <v>41.740106706294192</v>
      </c>
      <c r="W8" s="13">
        <v>1.4628508874921134E-2</v>
      </c>
      <c r="X8" s="13">
        <v>5.4032</v>
      </c>
      <c r="Y8" s="6">
        <f>Y7</f>
        <v>-4500000</v>
      </c>
      <c r="Z8" s="3">
        <f t="shared" si="7"/>
        <v>-55768043.479635417</v>
      </c>
      <c r="AA8" s="3">
        <f t="shared" si="8"/>
        <v>-1240327.0016348707</v>
      </c>
      <c r="AB8" s="6">
        <f>Y8*T8</f>
        <v>2209454.5540935853</v>
      </c>
      <c r="AC8" s="5" cm="1">
        <f t="array" ref="AC8">BRISTO.OPT_IVOL(S8,C8,D8,F8,J8,N8,M8)</f>
        <v>0.25590419769287109</v>
      </c>
      <c r="AD8" s="5">
        <f t="shared" si="9"/>
        <v>4.1976928710774075E-6</v>
      </c>
    </row>
    <row r="9" spans="1:30" x14ac:dyDescent="0.25">
      <c r="A9" t="s">
        <v>40</v>
      </c>
      <c r="B9" s="2">
        <v>45982</v>
      </c>
      <c r="C9">
        <v>100</v>
      </c>
      <c r="D9" t="s">
        <v>32</v>
      </c>
      <c r="E9" s="2">
        <v>46394</v>
      </c>
      <c r="F9" s="3">
        <f>C9*1.2</f>
        <v>120</v>
      </c>
      <c r="G9" s="4">
        <v>0</v>
      </c>
      <c r="H9" s="5">
        <v>0.25590000000000002</v>
      </c>
      <c r="I9" s="6" cm="1">
        <f t="array" ref="I9">BRISTO.BDAYS(B9,E9,holiday_b3[])</f>
        <v>276</v>
      </c>
      <c r="J9" s="7">
        <f t="shared" si="1"/>
        <v>1.0952380952380953</v>
      </c>
      <c r="K9" s="8">
        <v>0.14712500000000001</v>
      </c>
      <c r="L9" s="6" cm="1">
        <f t="array" ref="L9">BRISTO.BDAYS(B9,E9,holiday_br[])</f>
        <v>280</v>
      </c>
      <c r="M9" s="9">
        <f t="shared" si="2"/>
        <v>0.85855048760221409</v>
      </c>
      <c r="N9" s="9">
        <f t="shared" si="3"/>
        <v>1</v>
      </c>
      <c r="O9" s="5">
        <f t="shared" si="4"/>
        <v>0.13924807030424352</v>
      </c>
      <c r="P9" s="12">
        <f t="shared" si="5"/>
        <v>2.258688950650108E-2</v>
      </c>
      <c r="Q9" s="12">
        <f t="shared" si="6"/>
        <v>-0.2452217335276137</v>
      </c>
      <c r="R9">
        <f t="shared" si="0"/>
        <v>1</v>
      </c>
      <c r="S9" s="10" cm="1">
        <f t="array" ref="S9:W9">BRISTO.OPT_EURO(C9,D9,J9,F9,N9,M9,H9,A9)</f>
        <v>9.3668400387643942</v>
      </c>
      <c r="T9" s="11">
        <v>0.50901009909031436</v>
      </c>
      <c r="U9" s="5">
        <v>1.4892744122741185E-2</v>
      </c>
      <c r="V9" s="12">
        <v>41.740106706294192</v>
      </c>
      <c r="W9" s="13">
        <v>-4.2300776200019666E-2</v>
      </c>
      <c r="X9" s="13">
        <v>5.4032</v>
      </c>
      <c r="Y9" s="6">
        <f>-Y8</f>
        <v>4500000</v>
      </c>
      <c r="Z9" s="3">
        <f t="shared" si="7"/>
        <v>42150780.174439773</v>
      </c>
      <c r="AA9" s="3">
        <f t="shared" si="8"/>
        <v>1240327.0016348707</v>
      </c>
      <c r="AB9" s="6">
        <f>Y9*T9</f>
        <v>2290545.4459064147</v>
      </c>
      <c r="AC9" s="5" cm="1">
        <f t="array" ref="AC9">BRISTO.OPT_IVOL(S9,C9,D9,F9,J9,N9,M9)</f>
        <v>0.25590419769287109</v>
      </c>
      <c r="AD9" s="5">
        <f t="shared" si="9"/>
        <v>4.1976928710774075E-6</v>
      </c>
    </row>
    <row r="10" spans="1:30" x14ac:dyDescent="0.25">
      <c r="Z10" s="3">
        <f>SUM(Z6:Z9)</f>
        <v>-154539087.76839858</v>
      </c>
    </row>
    <row r="11" spans="1:30" x14ac:dyDescent="0.25">
      <c r="K11" s="3">
        <f>C6*Y6</f>
        <v>450000000</v>
      </c>
      <c r="Z11" s="3">
        <v>1000000</v>
      </c>
    </row>
    <row r="12" spans="1:30" x14ac:dyDescent="0.25">
      <c r="C12" s="14" t="s">
        <v>61</v>
      </c>
      <c r="D12" s="14" t="s">
        <v>62</v>
      </c>
      <c r="E12" s="14" t="s">
        <v>60</v>
      </c>
      <c r="K12" s="5">
        <f>Z11/K11</f>
        <v>2.2222222222222222E-3</v>
      </c>
      <c r="Z12" s="3">
        <f>Z11+Z10</f>
        <v>-153539087.76839858</v>
      </c>
    </row>
    <row r="13" spans="1:30" x14ac:dyDescent="0.25">
      <c r="C13" s="3">
        <v>30</v>
      </c>
      <c r="D13" s="3">
        <f>MAX(0,(F6-C13)*R6)</f>
        <v>0</v>
      </c>
      <c r="E13" s="6">
        <f>D13*Y6</f>
        <v>0</v>
      </c>
      <c r="Z13">
        <f>E17/-Z12</f>
        <v>1.1723399078123715</v>
      </c>
    </row>
    <row r="14" spans="1:30" x14ac:dyDescent="0.25">
      <c r="C14" s="3">
        <v>30</v>
      </c>
      <c r="D14" s="3">
        <f t="shared" ref="D14:D16" si="10">MAX(0,(F7-C14)*R7)</f>
        <v>50</v>
      </c>
      <c r="E14" s="6">
        <f t="shared" ref="E14:E16" si="11">D14*Y7</f>
        <v>-225000000</v>
      </c>
      <c r="Z14">
        <f>Z13*M6</f>
        <v>1.0065129994878463</v>
      </c>
    </row>
    <row r="15" spans="1:30" x14ac:dyDescent="0.25">
      <c r="C15" s="3">
        <v>30</v>
      </c>
      <c r="D15" s="3">
        <f t="shared" si="10"/>
        <v>0</v>
      </c>
      <c r="E15" s="6">
        <f t="shared" si="11"/>
        <v>0</v>
      </c>
      <c r="Z15" s="17">
        <f>Z14^(252/I6)-1</f>
        <v>5.9449717300685823E-3</v>
      </c>
    </row>
    <row r="16" spans="1:30" x14ac:dyDescent="0.25">
      <c r="C16" s="3">
        <v>30</v>
      </c>
      <c r="D16" s="3">
        <f t="shared" si="10"/>
        <v>90</v>
      </c>
      <c r="E16" s="6">
        <f t="shared" si="11"/>
        <v>405000000</v>
      </c>
    </row>
    <row r="17" spans="1:30" x14ac:dyDescent="0.25">
      <c r="E17" s="3">
        <f>SUM(E13:E16)</f>
        <v>180000000</v>
      </c>
    </row>
    <row r="19" spans="1:30" x14ac:dyDescent="0.25">
      <c r="E19" s="3">
        <f>F8-F7</f>
        <v>40</v>
      </c>
    </row>
    <row r="20" spans="1:30" x14ac:dyDescent="0.25">
      <c r="E20" s="3">
        <f>E19*1000000</f>
        <v>40000000</v>
      </c>
    </row>
    <row r="22" spans="1:30" x14ac:dyDescent="0.25">
      <c r="E22" s="3">
        <f>C6*Y6</f>
        <v>450000000</v>
      </c>
    </row>
    <row r="23" spans="1:30" x14ac:dyDescent="0.25">
      <c r="E23" s="4">
        <f>E20/E22</f>
        <v>8.8888888888888892E-2</v>
      </c>
      <c r="M23" s="8">
        <f>Z15</f>
        <v>5.9449717300685823E-3</v>
      </c>
    </row>
    <row r="25" spans="1:30" x14ac:dyDescent="0.25">
      <c r="B25" s="1" t="s">
        <v>5</v>
      </c>
      <c r="C25" s="1" t="s">
        <v>6</v>
      </c>
      <c r="D25" s="1" t="s">
        <v>7</v>
      </c>
      <c r="E25" s="1" t="s">
        <v>8</v>
      </c>
      <c r="F25" s="1" t="s">
        <v>9</v>
      </c>
      <c r="G25" s="1" t="s">
        <v>10</v>
      </c>
      <c r="H25" s="1" t="s">
        <v>11</v>
      </c>
      <c r="I25" s="1" t="s">
        <v>12</v>
      </c>
      <c r="J25" s="1" t="s">
        <v>13</v>
      </c>
      <c r="K25" s="1" t="s">
        <v>14</v>
      </c>
      <c r="L25" s="1" t="s">
        <v>15</v>
      </c>
      <c r="M25" s="1" t="s">
        <v>16</v>
      </c>
      <c r="N25" s="1" t="s">
        <v>17</v>
      </c>
      <c r="O25" s="1" t="s">
        <v>18</v>
      </c>
      <c r="P25" s="1" t="s">
        <v>19</v>
      </c>
      <c r="Q25" s="1" t="s">
        <v>20</v>
      </c>
      <c r="R25" s="1" t="s">
        <v>21</v>
      </c>
      <c r="S25" s="1" t="s">
        <v>22</v>
      </c>
      <c r="T25" s="1" t="s">
        <v>23</v>
      </c>
      <c r="U25" s="1" t="s">
        <v>24</v>
      </c>
      <c r="V25" s="1" t="s">
        <v>25</v>
      </c>
      <c r="W25" s="1" t="s">
        <v>26</v>
      </c>
      <c r="X25" s="1" t="s">
        <v>27</v>
      </c>
      <c r="Y25" s="1" t="s">
        <v>28</v>
      </c>
      <c r="Z25" s="1" t="s">
        <v>60</v>
      </c>
      <c r="AA25" s="1" t="s">
        <v>29</v>
      </c>
      <c r="AB25" s="1" t="s">
        <v>30</v>
      </c>
      <c r="AC25" s="1" t="s">
        <v>58</v>
      </c>
      <c r="AD25" s="1" t="s">
        <v>59</v>
      </c>
    </row>
    <row r="26" spans="1:30" x14ac:dyDescent="0.25">
      <c r="A26" t="s">
        <v>40</v>
      </c>
      <c r="B26" s="2">
        <v>45982</v>
      </c>
      <c r="C26">
        <v>100</v>
      </c>
      <c r="D26" t="s">
        <v>31</v>
      </c>
      <c r="E26" s="2">
        <v>46394</v>
      </c>
      <c r="F26" s="3">
        <f>C26*0.8</f>
        <v>80</v>
      </c>
      <c r="G26" s="4">
        <v>0</v>
      </c>
      <c r="H26" s="5">
        <v>0.2409</v>
      </c>
      <c r="I26" s="6" cm="1">
        <f t="array" ref="I26">BRISTO.BDAYS(B26,E26,holiday_b3[])</f>
        <v>276</v>
      </c>
      <c r="J26" s="7">
        <f>I26/252</f>
        <v>1.0952380952380953</v>
      </c>
      <c r="K26" s="8">
        <v>0.14712500000000001</v>
      </c>
      <c r="L26" s="6" cm="1">
        <f t="array" ref="L26">BRISTO.BDAYS(B26,E26,holiday_br[])</f>
        <v>280</v>
      </c>
      <c r="M26" s="9">
        <f>1/(((1+K26)^(L26/252))*((1+$M$23)^(L26/252)))</f>
        <v>0.85291468158911843</v>
      </c>
      <c r="N26" s="9">
        <f>1/((1+G26)^J26)</f>
        <v>1</v>
      </c>
      <c r="O26" s="5">
        <f>LN(N26/M26)/J26</f>
        <v>0.14526134433083895</v>
      </c>
      <c r="P26" s="12">
        <f>(LN(C26/F26) + (O26 + (H26^2)/2)*J26) / (H26*SQRT(J26))</f>
        <v>1.6422126448947083</v>
      </c>
      <c r="Q26" s="12">
        <f>P26-H26*SQRT(J26)</f>
        <v>1.390102065414762</v>
      </c>
      <c r="R26">
        <f t="shared" ref="R26:R29" si="12">IF(D26="C",1,-1)</f>
        <v>-1</v>
      </c>
      <c r="S26" s="10" cm="1">
        <f t="array" ref="S26:W26">BRISTO.OPT_EURO(C26,D26,J26,F26,N26,M26,H26,A26)</f>
        <v>0.58480933668732238</v>
      </c>
      <c r="T26" s="11">
        <v>-5.0272971527512596E-2</v>
      </c>
      <c r="U26" s="5">
        <v>4.1086842955544729E-3</v>
      </c>
      <c r="V26" s="12">
        <v>10.840470036370796</v>
      </c>
      <c r="W26" s="13">
        <v>-1.4959140562928938E-3</v>
      </c>
      <c r="X26" s="13">
        <v>5.4032</v>
      </c>
      <c r="Y26" s="6">
        <f>450000000/C26</f>
        <v>4500000</v>
      </c>
      <c r="Z26" s="3">
        <f>Y26*S26</f>
        <v>2631642.0150929508</v>
      </c>
      <c r="AA26" s="3">
        <f>Y26*U26*C26*1%*C26/X26</f>
        <v>342187.58013760601</v>
      </c>
      <c r="AB26" s="6">
        <f>Y26*T26</f>
        <v>-226228.37187380667</v>
      </c>
      <c r="AC26" s="5" cm="1">
        <f t="array" ref="AC26">BRISTO.OPT_IVOL(S26,C26,D26,F26,J26,N26,M26)</f>
        <v>0.24090290069580078</v>
      </c>
      <c r="AD26" s="5">
        <f>AC26-H26</f>
        <v>2.9006958007782302E-6</v>
      </c>
    </row>
    <row r="27" spans="1:30" x14ac:dyDescent="0.25">
      <c r="A27" t="s">
        <v>40</v>
      </c>
      <c r="B27" s="2">
        <v>45982</v>
      </c>
      <c r="C27">
        <v>100</v>
      </c>
      <c r="D27" t="s">
        <v>32</v>
      </c>
      <c r="E27" s="2">
        <v>46394</v>
      </c>
      <c r="F27" s="3">
        <f>C27*0.8</f>
        <v>80</v>
      </c>
      <c r="G27" s="4">
        <v>0</v>
      </c>
      <c r="H27" s="5">
        <v>0.2409</v>
      </c>
      <c r="I27" s="6" cm="1">
        <f t="array" ref="I27">BRISTO.BDAYS(B27,E27,holiday_b3[])</f>
        <v>276</v>
      </c>
      <c r="J27" s="7">
        <f t="shared" ref="J27:J29" si="13">I27/252</f>
        <v>1.0952380952380953</v>
      </c>
      <c r="K27" s="8">
        <v>0.14712500000000001</v>
      </c>
      <c r="L27" s="6" cm="1">
        <f t="array" ref="L27">BRISTO.BDAYS(B27,E27,holiday_br[])</f>
        <v>280</v>
      </c>
      <c r="M27" s="9">
        <f t="shared" ref="M27:M29" si="14">1/(((1+K27)^(L27/252))*((1+$M$23)^(L27/252)))</f>
        <v>0.85291468158911843</v>
      </c>
      <c r="N27" s="9">
        <f t="shared" ref="N27:N29" si="15">1/((1+G27)^J27)</f>
        <v>1</v>
      </c>
      <c r="O27" s="5">
        <f t="shared" ref="O27:O29" si="16">LN(N27/M27)/J27</f>
        <v>0.14526134433083895</v>
      </c>
      <c r="P27" s="12">
        <f t="shared" ref="P27:P29" si="17">(LN(C27/F27) + (O27 + (H27^2)/2)*J27) / (H27*SQRT(J27))</f>
        <v>1.6422126448947083</v>
      </c>
      <c r="Q27" s="12">
        <f t="shared" ref="Q27:Q29" si="18">P27-H27*SQRT(J27)</f>
        <v>1.390102065414762</v>
      </c>
      <c r="R27">
        <f t="shared" si="12"/>
        <v>1</v>
      </c>
      <c r="S27" s="10" cm="1">
        <f t="array" ref="S27:W27">BRISTO.OPT_EURO(C27,D27,J27,F27,N27,M27,H27,A27)</f>
        <v>32.351634809557844</v>
      </c>
      <c r="T27" s="11">
        <v>0.94972702847248736</v>
      </c>
      <c r="U27" s="5">
        <v>4.1086842955544729E-3</v>
      </c>
      <c r="V27" s="12">
        <v>10.840470036370796</v>
      </c>
      <c r="W27" s="13">
        <v>-4.0827829372846805E-2</v>
      </c>
      <c r="X27" s="13">
        <v>5.4032</v>
      </c>
      <c r="Y27" s="6">
        <f>-Y26</f>
        <v>-4500000</v>
      </c>
      <c r="Z27" s="3">
        <f t="shared" ref="Z27:Z29" si="19">Y27*S27</f>
        <v>-145582356.64301029</v>
      </c>
      <c r="AA27" s="3">
        <f t="shared" ref="AA27:AA29" si="20">Y27*U27*C27*1%*C27/X27</f>
        <v>-342187.58013760601</v>
      </c>
      <c r="AB27" s="6">
        <f>Y27*T27</f>
        <v>-4273771.6281261928</v>
      </c>
      <c r="AC27" s="5" cm="1">
        <f t="array" ref="AC27">BRISTO.OPT_IVOL(S27,C27,D27,F27,J27,N27,M27)</f>
        <v>0.24090290069580078</v>
      </c>
      <c r="AD27" s="5">
        <f t="shared" ref="AD27:AD29" si="21">AC27-H27</f>
        <v>2.9006958007782302E-6</v>
      </c>
    </row>
    <row r="28" spans="1:30" x14ac:dyDescent="0.25">
      <c r="A28" t="s">
        <v>40</v>
      </c>
      <c r="B28" s="2">
        <v>45982</v>
      </c>
      <c r="C28">
        <v>100</v>
      </c>
      <c r="D28" t="s">
        <v>31</v>
      </c>
      <c r="E28" s="2">
        <v>46394</v>
      </c>
      <c r="F28" s="3">
        <f>C28*1.2</f>
        <v>120</v>
      </c>
      <c r="G28" s="4">
        <v>0</v>
      </c>
      <c r="H28" s="5">
        <v>0.25590000000000002</v>
      </c>
      <c r="I28" s="6" cm="1">
        <f t="array" ref="I28">BRISTO.BDAYS(B28,E28,holiday_b3[])</f>
        <v>276</v>
      </c>
      <c r="J28" s="7">
        <f t="shared" si="13"/>
        <v>1.0952380952380953</v>
      </c>
      <c r="K28" s="8">
        <v>0.14712500000000001</v>
      </c>
      <c r="L28" s="6" cm="1">
        <f t="array" ref="L28">BRISTO.BDAYS(B28,E28,holiday_br[])</f>
        <v>280</v>
      </c>
      <c r="M28" s="9">
        <f t="shared" si="14"/>
        <v>0.85291468158911843</v>
      </c>
      <c r="N28" s="9">
        <f t="shared" si="15"/>
        <v>1</v>
      </c>
      <c r="O28" s="5">
        <f t="shared" si="16"/>
        <v>0.14526134433083895</v>
      </c>
      <c r="P28" s="12">
        <f t="shared" si="17"/>
        <v>4.717895348270152E-2</v>
      </c>
      <c r="Q28" s="12">
        <f t="shared" si="18"/>
        <v>-0.22062966955141328</v>
      </c>
      <c r="R28">
        <f t="shared" si="12"/>
        <v>-1</v>
      </c>
      <c r="S28" s="10" cm="1">
        <f t="array" ref="S28:W28">BRISTO.OPT_EURO(C28,D28,J28,F28,N28,M28,H28,A28)</f>
        <v>11.992467718121326</v>
      </c>
      <c r="T28" s="11">
        <v>-0.48118530076394045</v>
      </c>
      <c r="U28" s="5">
        <v>1.4879973964071569E-2</v>
      </c>
      <c r="V28" s="12">
        <v>41.704315600160022</v>
      </c>
      <c r="W28" s="13">
        <v>1.5316440513843366E-2</v>
      </c>
      <c r="X28" s="13">
        <v>5.4032</v>
      </c>
      <c r="Y28" s="6">
        <f>Y27</f>
        <v>-4500000</v>
      </c>
      <c r="Z28" s="3">
        <f t="shared" si="19"/>
        <v>-53966104.731545962</v>
      </c>
      <c r="AA28" s="3">
        <f t="shared" si="20"/>
        <v>-1239263.451997373</v>
      </c>
      <c r="AB28" s="6">
        <f>Y28*T28</f>
        <v>2165333.853437732</v>
      </c>
      <c r="AC28" s="5" cm="1">
        <f t="array" ref="AC28">BRISTO.OPT_IVOL(S28,C28,D28,F28,J28,N28,M28)</f>
        <v>0.25590419769287109</v>
      </c>
      <c r="AD28" s="5">
        <f t="shared" si="21"/>
        <v>4.1976928710774075E-6</v>
      </c>
    </row>
    <row r="29" spans="1:30" x14ac:dyDescent="0.25">
      <c r="A29" t="s">
        <v>40</v>
      </c>
      <c r="B29" s="2">
        <v>45982</v>
      </c>
      <c r="C29">
        <v>100</v>
      </c>
      <c r="D29" t="s">
        <v>32</v>
      </c>
      <c r="E29" s="2">
        <v>46394</v>
      </c>
      <c r="F29" s="3">
        <f>C29*1.2</f>
        <v>120</v>
      </c>
      <c r="G29" s="4">
        <v>0</v>
      </c>
      <c r="H29" s="5">
        <v>0.25590000000000002</v>
      </c>
      <c r="I29" s="6" cm="1">
        <f t="array" ref="I29">BRISTO.BDAYS(B29,E29,holiday_b3[])</f>
        <v>276</v>
      </c>
      <c r="J29" s="7">
        <f t="shared" si="13"/>
        <v>1.0952380952380953</v>
      </c>
      <c r="K29" s="8">
        <v>0.14712500000000001</v>
      </c>
      <c r="L29" s="6" cm="1">
        <f t="array" ref="L29">BRISTO.BDAYS(B29,E29,holiday_br[])</f>
        <v>280</v>
      </c>
      <c r="M29" s="9">
        <f t="shared" si="14"/>
        <v>0.85291468158911843</v>
      </c>
      <c r="N29" s="9">
        <f t="shared" si="15"/>
        <v>1</v>
      </c>
      <c r="O29" s="5">
        <f t="shared" si="16"/>
        <v>0.14526134433083895</v>
      </c>
      <c r="P29" s="12">
        <f t="shared" si="17"/>
        <v>4.717895348270152E-2</v>
      </c>
      <c r="Q29" s="12">
        <f t="shared" si="18"/>
        <v>-0.22062966955141328</v>
      </c>
      <c r="R29">
        <f t="shared" si="12"/>
        <v>1</v>
      </c>
      <c r="S29" s="10" cm="1">
        <f t="array" ref="S29:W29">BRISTO.OPT_EURO(C29,D29,J29,F29,N29,M29,H29,A29)</f>
        <v>9.6427059274271159</v>
      </c>
      <c r="T29" s="11">
        <v>0.51881469923605961</v>
      </c>
      <c r="U29" s="5">
        <v>1.4879973964071569E-2</v>
      </c>
      <c r="V29" s="12">
        <v>41.704315600160022</v>
      </c>
      <c r="W29" s="13">
        <v>-4.368143246098749E-2</v>
      </c>
      <c r="X29" s="13">
        <v>5.4032</v>
      </c>
      <c r="Y29" s="6">
        <f>-Y28</f>
        <v>4500000</v>
      </c>
      <c r="Z29" s="3">
        <f t="shared" si="19"/>
        <v>43392176.673422024</v>
      </c>
      <c r="AA29" s="3">
        <f t="shared" si="20"/>
        <v>1239263.451997373</v>
      </c>
      <c r="AB29" s="6">
        <f>Y29*T29</f>
        <v>2334666.146562268</v>
      </c>
      <c r="AC29" s="5" cm="1">
        <f t="array" ref="AC29">BRISTO.OPT_IVOL(S29,C29,D29,F29,J29,N29,M29)</f>
        <v>0.25590419769287109</v>
      </c>
      <c r="AD29" s="5">
        <f t="shared" si="21"/>
        <v>4.1976928710774075E-6</v>
      </c>
    </row>
    <row r="30" spans="1:30" x14ac:dyDescent="0.25">
      <c r="Z30" s="3">
        <f>SUM(Z26:Z29)</f>
        <v>-153524642.6860413</v>
      </c>
    </row>
    <row r="31" spans="1:30" x14ac:dyDescent="0.25">
      <c r="Y31" t="s">
        <v>59</v>
      </c>
      <c r="Z31" s="3">
        <f>Z30-Z12</f>
        <v>14445.082357287407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bristo.lambdas</vt:lpstr>
      <vt:lpstr>ch1</vt:lpstr>
      <vt:lpstr>tables</vt:lpstr>
      <vt:lpstr>options</vt:lpstr>
      <vt:lpstr>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2026-02-01T03:27:23Z</dcterms:modified>
</cp:coreProperties>
</file>