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66EBC221-672A-42E9-BB76-E4F4A6E66358}" xr6:coauthVersionLast="47" xr6:coauthVersionMax="47" xr10:uidLastSave="{00000000-0000-0000-0000-000000000000}"/>
  <bookViews>
    <workbookView xWindow="-120" yWindow="-120" windowWidth="29040" windowHeight="15720" activeTab="3" xr2:uid="{DE452286-8C54-42EA-9FBD-687FCC5FC56A}"/>
  </bookViews>
  <sheets>
    <sheet name="bristo.lambdas" sheetId="1" r:id="rId1"/>
    <sheet name="ch1" sheetId="8" r:id="rId2"/>
    <sheet name="ch2" sheetId="9" r:id="rId3"/>
    <sheet name="ch3" sheetId="10" r:id="rId4"/>
    <sheet name="tables" sheetId="7" r:id="rId5"/>
    <sheet name="options" sheetId="3" r:id="rId6"/>
  </sheets>
  <definedNames>
    <definedName name="_xleta.COLUMNS" hidden="1" xlm="1">#NAME?</definedName>
    <definedName name="_xleta.DELTA" hidden="1" xlm="1">#NAME?</definedName>
    <definedName name="_xleta.DISC" hidden="1" xlm="1">#NAME?</definedName>
    <definedName name="_xleta.FV" hidden="1" xlm="1">#NAME?</definedName>
    <definedName name="_xleta.GAMMA" hidden="1" xlm="1">#NAME?</definedName>
    <definedName name="_xleta.INDEX" hidden="1" xlm="1">#NAME?</definedName>
    <definedName name="_xleta.LN" hidden="1" xlm="1">#NAME?</definedName>
    <definedName name="_xleta.MAX" hidden="1" xlm="1">#NAME?</definedName>
    <definedName name="_xleta.N" hidden="1" xlm="1">#NAME?</definedName>
    <definedName name="_xleta.ROWS" hidden="1" xlm="1">#NAME?</definedName>
    <definedName name="_xleta.SECOND" hidden="1" xlm="1">#NAME?</definedName>
    <definedName name="_xleta.SEQUENCE" hidden="1" xlm="1">#NAME?</definedName>
    <definedName name="_xleta.T" hidden="1" xlm="1">#NAME?</definedName>
    <definedName name="_xleta.TYPE" hidden="1" xlm="1">#NAME?</definedName>
    <definedName name="_xleta.VALUE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f" hidden="1" xlm="1">#NAME?</definedName>
    <definedName name="_xlpm._disc" hidden="1" xlm="1">#NAME?</definedName>
    <definedName name="_xlpm._end" hidden="1" xlm="1">#NAME?</definedName>
    <definedName name="_xlpm._exp_q_tau" hidden="1" xlm="1">#NAME?</definedName>
    <definedName name="_xlpm._exp_r_tau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prev_step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bt" hidden="1" xlm="1">#NAME?</definedName>
    <definedName name="_xlpm.btr" hidden="1" xlm="1">#NAME?</definedName>
    <definedName name="_xlpm.btre" hidden="1" xlm="1">#NAME?</definedName>
    <definedName name="_xlpm.btree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" hidden="1" xlm="1">#NAME?</definedName>
    <definedName name="_xlpm.chars" hidden="1" xlm="1">#NAME?</definedName>
    <definedName name="_xlpm.clean_nw" hidden="1" xlm="1">#NAME?</definedName>
    <definedName name="_xlpm.co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l" hidden="1" xlm="1">#NAME?</definedName>
    <definedName name="_xlpm.cols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pp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is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t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a" hidden="1" xlm="1">#NAME?</definedName>
    <definedName name="_xlpm.ean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ex" hidden="1" xlm="1">#NAME?</definedName>
    <definedName name="_xlpm.f" hidden="1" xlm="1">#NAME?</definedName>
    <definedName name="_xlpm.f_1" hidden="1" xlm="1">#NAME?</definedName>
    <definedName name="_xlpm.f_cont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o" hidden="1" xlm="1">#NAME?</definedName>
    <definedName name="_xlpm.for" hidden="1" xlm="1">#NAME?</definedName>
    <definedName name="_xlpm.forw" hidden="1" xlm="1">#NAME?</definedName>
    <definedName name="_xlpm.forwa" hidden="1" xlm="1">#NAME?</definedName>
    <definedName name="_xlpm.forwar" hidden="1" xlm="1">#NAME?</definedName>
    <definedName name="_xlpm.forward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uture_value" hidden="1" xlm="1">#NAME?</definedName>
    <definedName name="_xlpm.fv" hidden="1" xlm="1">#NAME?</definedName>
    <definedName name="_xlpm.fw" hidden="1" xlm="1">#NAME?</definedName>
    <definedName name="_xlpm.fwd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dx_final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ame" hidden="1" xlm="1">#NAME?</definedName>
    <definedName name="_xlpm.is_cal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k" hidden="1" xlm="1">#NAME?</definedName>
    <definedName name="_xlpm.known_x" hidden="1" xlm="1">#NAME?</definedName>
    <definedName name="_xlpm.known_y" hidden="1" xlm="1">#NAME?</definedName>
    <definedName name="_xlpm.kp" hidden="1" xlm="1">#NAME?</definedName>
    <definedName name="_xlpm.kurtosis" hidden="1" xlm="1">#NAME?</definedName>
    <definedName name="_xlpm.last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nodes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step" hidden="1" xlm="1">#NAME?</definedName>
    <definedName name="_xlpm.new" hidden="1" xlm="1">#NAME?</definedName>
    <definedName name="_xlpm.new_row" hidden="1" xlm="1">#NAME?</definedName>
    <definedName name="_xlpm.new_step" hidden="1" xlm="1">#NAME?</definedName>
    <definedName name="_xlpm.newstep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nstep" hidden="1" xlm="1">#NAME?</definedName>
    <definedName name="_xlpm.o" hidden="1" xlm="1">#NAME?</definedName>
    <definedName name="_xlpm.offsets" hidden="1" xlm="1">#NAME?</definedName>
    <definedName name="_xlpm.on" hidden="1" xlm="1">#NAME?</definedName>
    <definedName name="_xlpm.ones" hidden="1" xlm="1">#NAME?</definedName>
    <definedName name="_xlpm.op" hidden="1" xlm="1">#NAME?</definedName>
    <definedName name="_xlpm.op_" hidden="1" xlm="1">#NAME?</definedName>
    <definedName name="_xlpm.op_t" hidden="1" xlm="1">#NAME?</definedName>
    <definedName name="_xlpm.op_ty" hidden="1" xlm="1">#NAME?</definedName>
    <definedName name="_xlpm.op_typ" hidden="1" xlm="1">#NAME?</definedName>
    <definedName name="_xlpm.op_type" hidden="1" xlm="1">#NAME?</definedName>
    <definedName name="_xlpm.opn" hidden="1" xlm="1">#NAME?</definedName>
    <definedName name="_xlpm.opt" hidden="1" xlm="1">#NAME?</definedName>
    <definedName name="_xlpm.option_val" hidden="1" xlm="1">#NAME?</definedName>
    <definedName name="_xlpm.optn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a" hidden="1" xlm="1">#NAME?</definedName>
    <definedName name="_xlpm.pay" hidden="1" xlm="1">#NAME?</definedName>
    <definedName name="_xlpm.payo" hidden="1" xlm="1">#NAME?</definedName>
    <definedName name="_xlpm.payof" hidden="1" xlm="1">#NAME?</definedName>
    <definedName name="_xlpm.payoff" hidden="1" xlm="1">#NAME?</definedName>
    <definedName name="_xlpm.payoff_calc" hidden="1" xlm="1">#NAME?</definedName>
    <definedName name="_xlpm.payoff_col" hidden="1" xlm="1">#NAME?</definedName>
    <definedName name="_xlpm.payoff_final" hidden="1" xlm="1">#NAME?</definedName>
    <definedName name="_xlpm.payoff_T" hidden="1" xlm="1">#NAME?</definedName>
    <definedName name="_xlpm.payoffs" hidden="1" xlm="1">#NAME?</definedName>
    <definedName name="_xlpm.pi" hidden="1" xlm="1">#NAME?</definedName>
    <definedName name="_xlpm.pi_val" hidden="1" xlm="1">#NAME?</definedName>
    <definedName name="_xlpm.pr" hidden="1" xlm="1">#NAME?</definedName>
    <definedName name="_xlpm.pre" hidden="1" xlm="1">#NAME?</definedName>
    <definedName name="_xlpm.precos_finais" hidden="1" xlm="1">#NAME?</definedName>
    <definedName name="_xlpm.prev" hidden="1" xlm="1">#NAME?</definedName>
    <definedName name="_xlpm.prev_" hidden="1" xlm="1">#NAME?</definedName>
    <definedName name="_xlpm.prev_s" hidden="1" xlm="1">#NAME?</definedName>
    <definedName name="_xlpm.prev_se" hidden="1" xlm="1">#NAME?</definedName>
    <definedName name="_xlpm.prev_st" hidden="1" xlm="1">#NAME?</definedName>
    <definedName name="_xlpm.prev_ste" hidden="1" xlm="1">#NAME?</definedName>
    <definedName name="_xlpm.prev_step" hidden="1" xlm="1">#NAME?</definedName>
    <definedName name="_xlpm.price" hidden="1" xlm="1">#NAME?</definedName>
    <definedName name="_xlpm.probs" hidden="1" xlm="1">#NAME?</definedName>
    <definedName name="_xlpm.pv" hidden="1" xlm="1">#NAME?</definedName>
    <definedName name="_xlpm.q" hidden="1" xlm="1">#NAME?</definedName>
    <definedName name="_xlpm.qborrow" hidden="1" xlm="1">#NAME?</definedName>
    <definedName name="_xlpm.qsigma" hidden="1" xlm="1">#NAME?</definedName>
    <definedName name="_xlpm.r" hidden="1" xlm="1">#NAME?</definedName>
    <definedName name="_xlpm.R_1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borrow" hidden="1" xlm="1">#NAME?</definedName>
    <definedName name="_xlpm.RE_1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_" hidden="1" xlm="1">#NAME?</definedName>
    <definedName name="_xlpm.s_c" hidden="1" xlm="1">#NAME?</definedName>
    <definedName name="_xlpm.s_col" hidden="1" xlm="1">#NAME?</definedName>
    <definedName name="_xlpm.s_cp" hidden="1" xlm="1">#NAME?</definedName>
    <definedName name="_xlpm.s_current" hidden="1" xlm="1">#NAME?</definedName>
    <definedName name="_xlpm.s_n" hidden="1" xlm="1">#NAME?</definedName>
    <definedName name="_xlpm.s_nodes" hidden="1" xlm="1">#NAME?</definedName>
    <definedName name="_xlpm.s_ns" hidden="1" xlm="1">#NAME?</definedName>
    <definedName name="_xlpm.S_step" hidden="1" xlm="1">#NAME?</definedName>
    <definedName name="_xlpm.s_t" hidden="1" xlm="1">#NAME?</definedName>
    <definedName name="_xlpm.S0" hidden="1" xlm="1">#NAME?</definedName>
    <definedName name="_xlpm.seb" hidden="1" xlm="1">#NAME?</definedName>
    <definedName name="_xlpm.seq" hidden="1" xlm="1">#NAME?</definedName>
    <definedName name="_xlpm.sfv" hidden="1" xlm="1">#NAME?</definedName>
    <definedName name="_xlpm.sig" hidden="1" xlm="1">#NAME?</definedName>
    <definedName name="_xlpm.sigma" hidden="1" xlm="1">#NAME?</definedName>
    <definedName name="_xlpm.sign_cp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" hidden="1" xlm="1">#NAME?</definedName>
    <definedName name="_xlpm.spfv" hidden="1" xlm="1">#NAME?</definedName>
    <definedName name="_xlpm.spo" hidden="1" xlm="1">#NAME?</definedName>
    <definedName name="_xlpm.spofv" hidden="1" xlm="1">#NAME?</definedName>
    <definedName name="_xlpm.spot" hidden="1" xlm="1">#NAME?</definedName>
    <definedName name="_xlpm.spot_ffv" hidden="1" xlm="1">#NAME?</definedName>
    <definedName name="_xlpm.spot_fifv" hidden="1" xlm="1">#NAME?</definedName>
    <definedName name="_xlpm.spot_finafv" hidden="1" xlm="1">#NAME?</definedName>
    <definedName name="_xlpm.spot_final" hidden="1" xlm="1">#NAME?</definedName>
    <definedName name="_xlpm.spot_finalfv" hidden="1" xlm="1">#NAME?</definedName>
    <definedName name="_xlpm.spot_finfv" hidden="1" xlm="1">#NAME?</definedName>
    <definedName name="_xlpm.spot_fv" hidden="1" xlm="1">#NAME?</definedName>
    <definedName name="_xlpm.spotfv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ep_i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aur" hidden="1" xlm="1">#NAME?</definedName>
    <definedName name="_xlpm.tol" hidden="1" xlm="1">#NAME?</definedName>
    <definedName name="_xlpm.tolerance" hidden="1" xlm="1">#NAME?</definedName>
    <definedName name="_xlpm.tree" hidden="1" xlm="1">#NAME?</definedName>
    <definedName name="_xlpm.tt" hidden="1" xlm="1">#NAME?</definedName>
    <definedName name="_xlpm.ty" hidden="1" xlm="1">#NAME?</definedName>
    <definedName name="_xlpm.typ" hidden="1" xlm="1">#NAME?</definedName>
    <definedName name="_xlpm.type" hidden="1" xlm="1">#NAME?</definedName>
    <definedName name="_xlpm.u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_cont" hidden="1" xlm="1">#NAME?</definedName>
    <definedName name="_xlpm.v_dw" hidden="1" xlm="1">#NAME?</definedName>
    <definedName name="_xlpm.v_exec" hidden="1" xlm="1">#NAME?</definedName>
    <definedName name="_xlpm.v_final" hidden="1" xlm="1">#NAME?</definedName>
    <definedName name="_xlpm.v_next" hidden="1" xlm="1">#NAME?</definedName>
    <definedName name="_xlpm.v_opt" hidden="1" xlm="1">#NAME?</definedName>
    <definedName name="_xlpm.v_s" hidden="1" xlm="1">#NAME?</definedName>
    <definedName name="_xlpm.v_up" hidden="1" xlm="1">#NAME?</definedName>
    <definedName name="_xlpm.variance" hidden="1" xlm="1">#NAME?</definedName>
    <definedName name="_xlpm.vec_d" hidden="1" xlm="1">#NAME?</definedName>
    <definedName name="_xlpm.vol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BIN">_xlfn.LAMBDA(_xlpm.spot,_xlpm.strike,_xlpm.tau,_xlpm.r,_xlpm.vol,_xlpm.type,_xlpm.ea,_xlpm.n,
    _xlfn.LET(
      _xlpm.REM_1,"---- initialize the model parameters ----",
      _xlpm.cp,_xlfn.SWITCH(UPPER(TRIM(_xlpm.type)),"C",1,"P",-1),
      _xlpm.df,EXP(-_xlpm.r*_xlpm.tau),
      _xlpm.dt,_xlpm.tau/_xlpm.n,
      _xlpm.u,EXP(_xlpm.vol*SQRT(_xlpm.dt)),
      _xlpm.d,1/_xlpm.u,
      _xlpm.p,(EXP(_xlpm.r*_xlpm.dt)-_xlpm.d)/(_xlpm.u-_xlpm.d),
      _xlpm.disc,EXP(-_xlpm.r*_xlpm.dt),
      _xlpm.REM_2, "---- define the maximization function ----",
      _xlpm.f_cont,_xlfn.SWITCH(
        _xlpm.ea,
        "E",_xlfn.LAMBDA(_xlpm.v,_xlpm.s,_xlpm.v),
        "A",_xlfn.LAMBDA(_xlpm.v,_xlpm.s,_xlfn.LET(_xlpm.ex, _xlpm.cp * (_xlpm.s - _xlpm.strike), IF(_xlpm.ex &gt; _xlpm.v, _xlpm.ex, _xlpm.v)))),
      _xlpm.REM_3, "---- calculate S at the maturity ----",
      _xlpm.j, _xlfn.SEQUENCE(_xlpm.n+1,1, 0),
      _xlpm.s_n, _xlpm.spot * _xlpm.u^(_xlpm.n - _xlpm.j) * _xlpm.d^_xlpm.j,
      _xlpm.REM_4, "---- calculate payoff at the maturity ----",
      _xlpm.payoff_calc,_xlpm.cp*(_xlpm.s_n-_xlpm.strike),
      _xlpm.payoff_final,IF(_xlpm.payoff_calc&gt;0,_xlpm.payoff_calc,0),
      _xlpm.REM_5, "---- calculate option prices backward ----",
      _xlpm.rslt,_xlfn.REDUCE(_xlfn.HSTACK(_xlpm.payoff_final,_xlpm.s_n),_xlfn.SEQUENCE(_xlpm.n,,_xlpm.n-1,-1),_xlfn.LAMBDA(_xlpm.prev_step,_xlpm.col,
        _xlfn.LET(
          _xlpm.v_opt,_xlfn.CHOOSECOLS(_xlpm.prev_step,1),
          _xlpm.v_s,_xlfn.CHOOSECOLS(_xlpm.prev_step,2),
          _xlpm.v_up, _xlfn.DROP(_xlpm.v_opt,-1),
          _xlpm.v_dw, _xlfn.DROP(_xlpm.v_opt,1),
          _xlpm.v_cont,_xlpm.disc * (_xlpm.p * _xlpm.v_up + (1 - _xlpm.p) * _xlpm.v_dw),
          _xlpm.s_current,_xlfn.DROP(_xlpm.v_s, -1) / _xlpm.u,
          _xlpm.v_final,_xlpm.f_cont(_xlpm.v_cont,_xlpm.s_current),
          _xlfn.HSTACK(_xlpm.v_final,_xlpm.s_current)
        ))),
      INDEX(_xlpm.rslt,1,1)
    )
)</definedName>
    <definedName name="BRISTO.OPT_BS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definedName>
    <definedName name="BRISTO.OPT_BS_IVOL"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ExternalData_1" localSheetId="4" hidden="1">tables!$A$1:$A$868</definedName>
    <definedName name="ExternalData_2" localSheetId="4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 a="1"/>
  <c r="C24" i="1"/>
  <c r="C22" i="10" a="1"/>
  <c r="C22" i="10" s="1"/>
  <c r="F5" i="10" a="1"/>
  <c r="F5" i="10" s="1"/>
  <c r="I28" i="10" a="1"/>
  <c r="I28" i="10" s="1"/>
  <c r="I5" i="10" a="1"/>
  <c r="I5" i="10" s="1"/>
  <c r="C14" i="10" a="1"/>
  <c r="C14" i="10" s="1"/>
  <c r="C15" i="10"/>
  <c r="C12" i="10" a="1"/>
  <c r="C12" i="10" s="1"/>
  <c r="C7" i="1" a="1"/>
  <c r="C7" i="1" s="1"/>
  <c r="C8" i="1"/>
  <c r="E24" i="3" a="1"/>
  <c r="E24" i="3" s="1"/>
  <c r="E25" i="3" a="1"/>
  <c r="E25" i="3" s="1"/>
  <c r="E26" i="3" a="1"/>
  <c r="E26" i="3" s="1"/>
  <c r="E23" i="3" a="1"/>
  <c r="E23" i="3" s="1"/>
  <c r="R26" i="3"/>
  <c r="N26" i="3"/>
  <c r="R25" i="3"/>
  <c r="N25" i="3"/>
  <c r="R24" i="3"/>
  <c r="N24" i="3"/>
  <c r="R23" i="3"/>
  <c r="N23" i="3"/>
  <c r="Z43" i="3"/>
  <c r="Y43" i="3"/>
  <c r="Z42" i="3"/>
  <c r="Y42" i="3"/>
  <c r="Z41" i="3"/>
  <c r="Y41" i="3"/>
  <c r="Z40" i="3"/>
  <c r="Y40" i="3"/>
  <c r="R38" i="3"/>
  <c r="N38" i="3"/>
  <c r="L38" i="3" a="1"/>
  <c r="L38" i="3" s="1"/>
  <c r="I38" i="3" a="1"/>
  <c r="I38" i="3" s="1"/>
  <c r="J38" i="3" s="1"/>
  <c r="R37" i="3"/>
  <c r="N37" i="3"/>
  <c r="L37" i="3" a="1"/>
  <c r="L37" i="3" s="1"/>
  <c r="I37" i="3" a="1"/>
  <c r="I37" i="3" s="1"/>
  <c r="J37" i="3" s="1"/>
  <c r="R36" i="3"/>
  <c r="N36" i="3"/>
  <c r="L36" i="3" a="1"/>
  <c r="L36" i="3" s="1"/>
  <c r="I36" i="3" a="1"/>
  <c r="I36" i="3" s="1"/>
  <c r="J36" i="3" s="1"/>
  <c r="R35" i="3"/>
  <c r="N35" i="3"/>
  <c r="L35" i="3" a="1"/>
  <c r="L35" i="3" s="1"/>
  <c r="I35" i="3" a="1"/>
  <c r="I35" i="3" s="1"/>
  <c r="J35" i="3" s="1"/>
  <c r="N18" i="3"/>
  <c r="N19" i="3"/>
  <c r="N20" i="3"/>
  <c r="N17" i="3"/>
  <c r="L20" i="3" a="1"/>
  <c r="L20" i="3" s="1"/>
  <c r="L19" i="3" a="1"/>
  <c r="L19" i="3" s="1"/>
  <c r="L18" i="3" a="1"/>
  <c r="L18" i="3" s="1"/>
  <c r="L17" i="3" a="1"/>
  <c r="L17" i="3" s="1"/>
  <c r="R20" i="3"/>
  <c r="I20" i="3" a="1"/>
  <c r="I20" i="3" s="1"/>
  <c r="J20" i="3" s="1"/>
  <c r="R19" i="3"/>
  <c r="I19" i="3" a="1"/>
  <c r="I19" i="3" s="1"/>
  <c r="J19" i="3" s="1"/>
  <c r="R18" i="3"/>
  <c r="I18" i="3" a="1"/>
  <c r="I18" i="3" s="1"/>
  <c r="J18" i="3" s="1"/>
  <c r="R17" i="3"/>
  <c r="I17" i="3" a="1"/>
  <c r="I17" i="3" s="1"/>
  <c r="J17" i="3" s="1"/>
  <c r="E5" i="10" a="1"/>
  <c r="E5" i="10" s="1"/>
  <c r="AE6" i="10" a="1"/>
  <c r="AF5" i="10" a="1"/>
  <c r="AF5" i="10" s="1"/>
  <c r="C23" i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K11" i="3" a="1"/>
  <c r="K11" i="3" s="1"/>
  <c r="L11" i="3" s="1"/>
  <c r="M11" i="3" s="1"/>
  <c r="K10" i="3" a="1"/>
  <c r="K10" i="3" s="1"/>
  <c r="L10" i="3" s="1"/>
  <c r="M10" i="3" s="1"/>
  <c r="K9" i="3" a="1"/>
  <c r="K9" i="3" s="1"/>
  <c r="L9" i="3" s="1"/>
  <c r="M9" i="3" s="1"/>
  <c r="K8" i="3" a="1"/>
  <c r="K8" i="3" s="1"/>
  <c r="L8" i="3" s="1"/>
  <c r="M8" i="3" s="1"/>
  <c r="K7" i="3" a="1"/>
  <c r="K7" i="3" s="1"/>
  <c r="K6" i="3" a="1"/>
  <c r="K6" i="3" s="1"/>
  <c r="K5" i="3" a="1"/>
  <c r="K5" i="3" s="1"/>
  <c r="L5" i="3" s="1"/>
  <c r="M5" i="3" s="1"/>
  <c r="K4" i="3" a="1"/>
  <c r="K4" i="3" s="1"/>
  <c r="L4" i="3" s="1"/>
  <c r="M4" i="3" s="1"/>
  <c r="K3" i="3" a="1"/>
  <c r="K3" i="3" s="1"/>
  <c r="L3" i="3" s="1"/>
  <c r="M3" i="3" s="1"/>
  <c r="E3" i="3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K2" i="3" a="1"/>
  <c r="K2" i="3" s="1"/>
  <c r="L2" i="3" s="1"/>
  <c r="M2" i="3" s="1"/>
  <c r="G2" i="3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6" i="1" a="1"/>
  <c r="C6" i="1" s="1"/>
  <c r="C16" i="10" l="1"/>
  <c r="G5" i="10" a="1"/>
  <c r="G5" i="10" s="1"/>
  <c r="I24" i="3" a="1"/>
  <c r="I24" i="3" s="1"/>
  <c r="J24" i="3" s="1"/>
  <c r="L24" i="3" a="1"/>
  <c r="L24" i="3" s="1"/>
  <c r="M24" i="3" s="1"/>
  <c r="I25" i="3" a="1"/>
  <c r="I25" i="3" s="1"/>
  <c r="J25" i="3" s="1"/>
  <c r="L25" i="3" a="1"/>
  <c r="L25" i="3" s="1"/>
  <c r="I26" i="3" a="1"/>
  <c r="I26" i="3" s="1"/>
  <c r="J26" i="3" s="1"/>
  <c r="L26" i="3" a="1"/>
  <c r="L26" i="3" s="1"/>
  <c r="I23" i="3" a="1"/>
  <c r="I23" i="3" s="1"/>
  <c r="J23" i="3" s="1"/>
  <c r="L23" i="3" a="1"/>
  <c r="L23" i="3" s="1"/>
  <c r="M38" i="3"/>
  <c r="S38" i="3" s="1" a="1"/>
  <c r="S38" i="3" s="1"/>
  <c r="AC38" i="3" s="1" a="1"/>
  <c r="AC38" i="3" s="1"/>
  <c r="M37" i="3"/>
  <c r="S37" i="3" s="1" a="1"/>
  <c r="S37" i="3" s="1"/>
  <c r="AC37" i="3" s="1" a="1"/>
  <c r="AC37" i="3" s="1"/>
  <c r="M36" i="3"/>
  <c r="S36" i="3" s="1" a="1"/>
  <c r="S36" i="3" s="1"/>
  <c r="AC36" i="3" s="1" a="1"/>
  <c r="AC36" i="3" s="1"/>
  <c r="M35" i="3"/>
  <c r="S35" i="3" s="1" a="1"/>
  <c r="S35" i="3" s="1"/>
  <c r="AC35" i="3" s="1" a="1"/>
  <c r="AC35" i="3" s="1"/>
  <c r="M20" i="3"/>
  <c r="M19" i="3"/>
  <c r="M18" i="3"/>
  <c r="M17" i="3"/>
  <c r="H2" i="3"/>
  <c r="E4" i="3"/>
  <c r="G3" i="3"/>
  <c r="H3" i="3" s="1"/>
  <c r="AE6" i="10"/>
  <c r="AF6" i="10" s="1" a="1"/>
  <c r="AF6" i="10" s="1"/>
  <c r="Y10" i="9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L113" i="8"/>
  <c r="B45" i="8"/>
  <c r="C49" i="8" s="1" a="1"/>
  <c r="C49" i="8" s="1"/>
  <c r="L7" i="3"/>
  <c r="L6" i="3"/>
  <c r="M25" i="3" l="1"/>
  <c r="C17" i="10"/>
  <c r="AD37" i="3"/>
  <c r="AD35" i="3"/>
  <c r="AD38" i="3"/>
  <c r="AD36" i="3"/>
  <c r="M26" i="3"/>
  <c r="M23" i="3"/>
  <c r="P25" i="3"/>
  <c r="O25" i="3"/>
  <c r="P24" i="3"/>
  <c r="O24" i="3"/>
  <c r="P38" i="3"/>
  <c r="O38" i="3"/>
  <c r="P37" i="3"/>
  <c r="O37" i="3"/>
  <c r="P36" i="3"/>
  <c r="O36" i="3"/>
  <c r="P35" i="3"/>
  <c r="O35" i="3"/>
  <c r="P20" i="3"/>
  <c r="O20" i="3"/>
  <c r="P19" i="3"/>
  <c r="O19" i="3"/>
  <c r="P18" i="3"/>
  <c r="O18" i="3"/>
  <c r="P17" i="3"/>
  <c r="O17" i="3"/>
  <c r="G4" i="3"/>
  <c r="H4" i="3" s="1"/>
  <c r="E5" i="3"/>
  <c r="Z10" i="9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M6" i="3"/>
  <c r="M7" i="3"/>
  <c r="C18" i="10" l="1"/>
  <c r="O26" i="3"/>
  <c r="P26" i="3"/>
  <c r="P23" i="3"/>
  <c r="O23" i="3"/>
  <c r="AD19" i="3" a="1"/>
  <c r="AD19" i="3" s="1"/>
  <c r="AD18" i="3" a="1"/>
  <c r="AD18" i="3" s="1"/>
  <c r="AD20" i="3" a="1"/>
  <c r="AD20" i="3" s="1"/>
  <c r="AD17" i="3" a="1"/>
  <c r="AD17" i="3" s="1"/>
  <c r="AH20" i="3" a="1"/>
  <c r="AH19" i="3" a="1"/>
  <c r="AH18" i="3" a="1"/>
  <c r="AH17" i="3" a="1"/>
  <c r="Q25" i="3"/>
  <c r="W25" i="3" s="1"/>
  <c r="T25" i="3"/>
  <c r="AB25" i="3" s="1"/>
  <c r="U25" i="3"/>
  <c r="AA25" i="3" s="1"/>
  <c r="V25" i="3"/>
  <c r="Q24" i="3"/>
  <c r="T24" i="3"/>
  <c r="AB24" i="3" s="1"/>
  <c r="U24" i="3"/>
  <c r="AA24" i="3" s="1"/>
  <c r="V24" i="3"/>
  <c r="V20" i="3"/>
  <c r="T20" i="3"/>
  <c r="T43" i="3" s="1"/>
  <c r="U20" i="3"/>
  <c r="U43" i="3" s="1"/>
  <c r="U19" i="3"/>
  <c r="U42" i="3" s="1"/>
  <c r="V19" i="3"/>
  <c r="T19" i="3"/>
  <c r="T42" i="3" s="1"/>
  <c r="Q38" i="3"/>
  <c r="AB38" i="3"/>
  <c r="AA38" i="3"/>
  <c r="Q37" i="3"/>
  <c r="AB37" i="3"/>
  <c r="AA37" i="3"/>
  <c r="Q36" i="3"/>
  <c r="AB36" i="3"/>
  <c r="AA36" i="3"/>
  <c r="Q35" i="3"/>
  <c r="AB35" i="3"/>
  <c r="AA35" i="3"/>
  <c r="T18" i="3"/>
  <c r="T41" i="3" s="1"/>
  <c r="U18" i="3"/>
  <c r="U41" i="3" s="1"/>
  <c r="V18" i="3"/>
  <c r="T17" i="3"/>
  <c r="T40" i="3" s="1"/>
  <c r="U17" i="3"/>
  <c r="U40" i="3" s="1"/>
  <c r="V17" i="3"/>
  <c r="Q20" i="3"/>
  <c r="X20" i="3" s="1"/>
  <c r="X43" i="3" s="1"/>
  <c r="Q19" i="3"/>
  <c r="X19" i="3" s="1"/>
  <c r="X42" i="3" s="1"/>
  <c r="Q18" i="3"/>
  <c r="X18" i="3" s="1"/>
  <c r="X41" i="3" s="1"/>
  <c r="Q17" i="3"/>
  <c r="X17" i="3" s="1"/>
  <c r="X40" i="3" s="1"/>
  <c r="G5" i="3"/>
  <c r="H5" i="3" s="1"/>
  <c r="E6" i="3"/>
  <c r="AB9" i="9"/>
  <c r="V10" i="9"/>
  <c r="V9" i="9" s="1"/>
  <c r="P10" i="9"/>
  <c r="P9" i="9" s="1"/>
  <c r="I8" i="9" a="1"/>
  <c r="I8" i="9" s="1"/>
  <c r="F6" i="9"/>
  <c r="U26" i="3" l="1"/>
  <c r="AA26" i="3" s="1"/>
  <c r="Q26" i="3"/>
  <c r="S26" i="3" s="1"/>
  <c r="T26" i="3"/>
  <c r="AB26" i="3" s="1"/>
  <c r="V26" i="3"/>
  <c r="Q23" i="3"/>
  <c r="T23" i="3"/>
  <c r="AB23" i="3" s="1"/>
  <c r="U23" i="3"/>
  <c r="AA23" i="3" s="1"/>
  <c r="V23" i="3"/>
  <c r="AL20" i="3"/>
  <c r="AN20" i="3" s="1"/>
  <c r="AO20" i="3" s="1"/>
  <c r="AP20" i="3" s="1"/>
  <c r="AH20" i="3"/>
  <c r="AL19" i="3"/>
  <c r="AN19" i="3" s="1"/>
  <c r="AO19" i="3" s="1"/>
  <c r="AP19" i="3" s="1"/>
  <c r="AH19" i="3"/>
  <c r="AH18" i="3"/>
  <c r="AL18" i="3"/>
  <c r="AN18" i="3" s="1"/>
  <c r="AO18" i="3" s="1"/>
  <c r="AP18" i="3" s="1"/>
  <c r="AL17" i="3"/>
  <c r="AN17" i="3" s="1"/>
  <c r="AO17" i="3" s="1"/>
  <c r="AP17" i="3" s="1"/>
  <c r="AH17" i="3"/>
  <c r="X24" i="3"/>
  <c r="S24" i="3"/>
  <c r="W24" i="3"/>
  <c r="X25" i="3"/>
  <c r="S25" i="3"/>
  <c r="V43" i="3"/>
  <c r="V42" i="3"/>
  <c r="V41" i="3"/>
  <c r="V40" i="3"/>
  <c r="AB20" i="3"/>
  <c r="AA20" i="3"/>
  <c r="AA19" i="3"/>
  <c r="AB19" i="3"/>
  <c r="AB18" i="3"/>
  <c r="AA18" i="3"/>
  <c r="AB17" i="3"/>
  <c r="AA17" i="3"/>
  <c r="S20" i="3"/>
  <c r="W20" i="3"/>
  <c r="S19" i="3"/>
  <c r="W19" i="3"/>
  <c r="S18" i="3"/>
  <c r="W18" i="3"/>
  <c r="S17" i="3"/>
  <c r="W17" i="3"/>
  <c r="G6" i="3"/>
  <c r="H6" i="3" s="1"/>
  <c r="E7" i="3"/>
  <c r="W26" i="3" l="1"/>
  <c r="X26" i="3"/>
  <c r="S23" i="3"/>
  <c r="W29" i="3" s="1"/>
  <c r="W23" i="3"/>
  <c r="X23" i="3"/>
  <c r="W32" i="3"/>
  <c r="W30" i="3"/>
  <c r="X30" i="3" s="1"/>
  <c r="W31" i="3"/>
  <c r="X31" i="3" s="1"/>
  <c r="AB41" i="3"/>
  <c r="AB43" i="3"/>
  <c r="AA43" i="3"/>
  <c r="AA42" i="3"/>
  <c r="AB42" i="3"/>
  <c r="AA41" i="3"/>
  <c r="AB40" i="3"/>
  <c r="AA40" i="3"/>
  <c r="S43" i="3"/>
  <c r="W43" i="3"/>
  <c r="S42" i="3"/>
  <c r="W42" i="3"/>
  <c r="S41" i="3"/>
  <c r="W41" i="3"/>
  <c r="S40" i="3"/>
  <c r="W40" i="3"/>
  <c r="G7" i="3"/>
  <c r="H7" i="3" s="1"/>
  <c r="E8" i="3"/>
  <c r="X32" i="3" l="1"/>
  <c r="X29" i="3"/>
  <c r="G8" i="3"/>
  <c r="H8" i="3" s="1"/>
  <c r="E9" i="3"/>
  <c r="E10" i="3" l="1"/>
  <c r="G9" i="3"/>
  <c r="H9" i="3" s="1"/>
  <c r="G10" i="3" l="1"/>
  <c r="H10" i="3" s="1"/>
  <c r="E11" i="3"/>
  <c r="G11" i="3" s="1"/>
  <c r="H1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<sst xmlns="http://schemas.openxmlformats.org/spreadsheetml/2006/main" count="315" uniqueCount="179">
  <si>
    <t>Name</t>
  </si>
  <si>
    <t>Lambda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</si>
  <si>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</si>
  <si>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</si>
  <si>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</si>
  <si>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</si>
  <si>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</si>
  <si>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</si>
  <si>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</si>
  <si>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</si>
  <si>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</si>
  <si>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</si>
  <si>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</si>
  <si>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</si>
  <si>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</si>
  <si>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</si>
  <si>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</si>
  <si>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</si>
  <si>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</si>
  <si>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</si>
  <si>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</si>
  <si>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</si>
  <si>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</si>
  <si>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</si>
  <si>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</si>
  <si>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</si>
  <si>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</si>
  <si>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</si>
  <si>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</si>
  <si>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</si>
  <si>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</si>
  <si>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</si>
  <si>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</si>
  <si>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</si>
  <si>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</si>
  <si>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</si>
  <si>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</si>
  <si>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</si>
  <si>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</si>
  <si>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</si>
  <si>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</si>
  <si>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</si>
  <si>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</si>
  <si>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</si>
  <si>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</si>
  <si>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</si>
  <si>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</si>
  <si>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</si>
  <si>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</si>
  <si>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</si>
  <si>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</si>
  <si>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</si>
  <si>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</si>
  <si>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</si>
  <si>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</si>
  <si>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</si>
  <si>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</si>
  <si>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</si>
  <si>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</si>
  <si>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</si>
  <si>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</si>
  <si>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</si>
  <si>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</si>
  <si>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</si>
  <si>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</si>
  <si>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</si>
  <si>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</si>
  <si>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</si>
  <si>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</si>
  <si>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</si>
  <si>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</si>
  <si>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</si>
  <si>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</si>
  <si>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</si>
  <si>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</si>
  <si>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</si>
  <si>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</si>
  <si>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</si>
  <si>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</si>
  <si>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</si>
  <si>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</si>
  <si>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</si>
  <si>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</si>
  <si>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</si>
  <si>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</si>
  <si>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</si>
  <si>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</si>
  <si>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</si>
  <si>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</si>
  <si>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</si>
  <si>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</si>
  <si>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</si>
  <si>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</si>
  <si>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</si>
  <si>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</si>
  <si>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</si>
  <si>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</si>
  <si>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</si>
  <si>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</si>
  <si>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</si>
  <si>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</si>
  <si>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</si>
  <si>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</si>
  <si>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</si>
  <si>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</si>
  <si>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</si>
  <si>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</si>
  <si>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</si>
  <si>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</si>
  <si>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</si>
  <si>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</si>
  <si>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</si>
  <si>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</si>
  <si>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</si>
  <si>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</si>
  <si>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</si>
  <si>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</si>
  <si>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</si>
  <si>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</si>
  <si>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</si>
  <si>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</si>
  <si>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</si>
  <si>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</si>
  <si>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</si>
  <si>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</si>
  <si>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</si>
  <si>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</si>
  <si>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</si>
  <si>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</si>
  <si>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</si>
  <si>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</si>
  <si>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</si>
  <si>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</si>
  <si>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</si>
  <si>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</si>
  <si>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</si>
  <si>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</si>
  <si>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</si>
  <si>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</si>
  <si>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</si>
  <si>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</si>
  <si>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</si>
  <si>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</si>
  <si>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</si>
  <si>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</si>
  <si>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</si>
  <si>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</si>
  <si>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</si>
  <si>
    <t>Stock Price (S)</t>
  </si>
  <si>
    <t>Strike Price (K)</t>
  </si>
  <si>
    <t>Years to Maturity (T)</t>
  </si>
  <si>
    <t>Interest Rate (r)</t>
  </si>
  <si>
    <t>Volatility (v)</t>
  </si>
  <si>
    <t>Steps (n)</t>
  </si>
  <si>
    <t>Type (C or P)</t>
  </si>
  <si>
    <t>i</t>
  </si>
  <si>
    <t>j</t>
  </si>
  <si>
    <t>rho</t>
  </si>
  <si>
    <t>PDGVTR</t>
  </si>
  <si>
    <t>check theta</t>
  </si>
  <si>
    <t>b-tree</t>
  </si>
  <si>
    <t>BRISTO.OPT_BS</t>
  </si>
  <si>
    <t>BRISTO.OPT_BS_IVOL</t>
  </si>
  <si>
    <t>BRISTO.OPT_BIN</t>
  </si>
  <si>
    <t>Option (E or A)</t>
  </si>
  <si>
    <t>E</t>
  </si>
  <si>
    <t>dt</t>
  </si>
  <si>
    <t>u</t>
  </si>
  <si>
    <t>p</t>
  </si>
  <si>
    <t>sign</t>
  </si>
  <si>
    <t>Sum</t>
  </si>
  <si>
    <t>Average</t>
  </si>
  <si>
    <t>Running Total</t>
  </si>
  <si>
    <t>Count</t>
  </si>
  <si>
    <t>payoff</t>
  </si>
  <si>
    <t>black-scholes</t>
  </si>
  <si>
    <t>EUROPEAN</t>
  </si>
  <si>
    <t>max n=20</t>
  </si>
  <si>
    <t>Option 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</si>
</sst>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"/>
    <numFmt numFmtId="165" formatCode="0.0000%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4" formatCode="#,##0.0000000000000000"/>
    <numFmt numFmtId="175" formatCode="#,##0.00000000000000000"/>
    <numFmt numFmtId="176" formatCode="#,##0.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11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176" fontId="0" fillId="0" borderId="0" xfId="0" applyNumberFormat="1"/>
    <xf numFmtId="170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2" xfId="0" applyFont="1" applyFill="1" applyBorder="1"/>
    <xf numFmtId="0" fontId="1" fillId="0" borderId="3" xfId="0" applyFont="1" applyFill="1" applyBorder="1"/>
    <xf numFmtId="170" fontId="0" fillId="0" borderId="9" xfId="0" applyNumberFormat="1" applyBorder="1"/>
    <xf numFmtId="170" fontId="0" fillId="0" borderId="4" xfId="0" applyNumberFormat="1" applyBorder="1"/>
    <xf numFmtId="170" fontId="0" fillId="0" borderId="5" xfId="0" applyNumberFormat="1" applyBorder="1"/>
    <xf numFmtId="170" fontId="0" fillId="0" borderId="0" xfId="0" applyNumberFormat="1" applyBorder="1"/>
    <xf numFmtId="170" fontId="0" fillId="0" borderId="10" xfId="0" applyNumberFormat="1" applyFont="1" applyBorder="1"/>
    <xf numFmtId="170" fontId="1" fillId="0" borderId="15" xfId="0" applyNumberFormat="1" applyFont="1" applyBorder="1"/>
    <xf numFmtId="170" fontId="1" fillId="0" borderId="15" xfId="0" applyNumberFormat="1" applyFont="1" applyFill="1" applyBorder="1"/>
    <xf numFmtId="169" fontId="0" fillId="0" borderId="0" xfId="0" applyNumberFormat="1" applyBorder="1"/>
    <xf numFmtId="169" fontId="0" fillId="0" borderId="7" xfId="0" applyNumberFormat="1" applyBorder="1"/>
    <xf numFmtId="0" fontId="0" fillId="0" borderId="0" xfId="0" applyAlignment="1">
      <alignment horizontal="center"/>
    </xf>
    <xf numFmtId="4" fontId="1" fillId="0" borderId="15" xfId="0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15" xfId="0" applyFont="1" applyBorder="1" applyAlignment="1">
      <alignment horizontal="center"/>
    </xf>
    <xf numFmtId="3" fontId="1" fillId="0" borderId="12" xfId="0" applyNumberFormat="1" applyFont="1" applyBorder="1" applyAlignment="1">
      <alignment horizontal="center"/>
    </xf>
    <xf numFmtId="3" fontId="1" fillId="0" borderId="13" xfId="0" applyNumberFormat="1" applyFont="1" applyBorder="1" applyAlignment="1">
      <alignment horizontal="center"/>
    </xf>
    <xf numFmtId="3" fontId="1" fillId="0" borderId="14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170" fontId="0" fillId="0" borderId="4" xfId="0" applyNumberFormat="1" applyBorder="1" applyAlignment="1">
      <alignment horizontal="center"/>
    </xf>
    <xf numFmtId="170" fontId="0" fillId="0" borderId="5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170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0" fontId="1" fillId="0" borderId="1" xfId="0" applyFont="1" applyFill="1" applyBorder="1"/>
    <xf numFmtId="172" fontId="0" fillId="0" borderId="8" xfId="0" applyNumberFormat="1" applyBorder="1"/>
    <xf numFmtId="3" fontId="0" fillId="0" borderId="5" xfId="0" applyNumberForma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4" totalsRowShown="0">
  <autoFilter ref="B4:C24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C35" sqref="C35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2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52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161</v>
      </c>
      <c r="C7" t="e" cm="1" vm="1">
        <f t="array" ref="C7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G7" s="2"/>
    </row>
    <row r="8" spans="2:7" x14ac:dyDescent="0.25">
      <c r="B8" t="s">
        <v>162</v>
      </c>
      <c r="C8" t="e" vm="1">
        <f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f>
        <v>#VALUE!</v>
      </c>
    </row>
    <row r="9" spans="2:7" x14ac:dyDescent="0.25">
      <c r="B9" t="s">
        <v>56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57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58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76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83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84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85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108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118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119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134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133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138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143</v>
      </c>
      <c r="C22" t="e" vm="1">
        <f>_xlfn.LAMBDA(1E+300)</f>
        <v>#VALUE!</v>
      </c>
    </row>
    <row r="23" spans="2:7" x14ac:dyDescent="0.25">
      <c r="B23" t="s">
        <v>144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B24" t="s">
        <v>163</v>
      </c>
      <c r="C24" t="e" cm="1" vm="1">
        <f t="array" ref="C24">_xlfn.LAMBDA(_xlpm.spot,_xlpm.strike,_xlpm.tau,_xlpm.r,_xlpm.vol,_xlpm.type,_xlpm.ea,_xlpm.n,
    _xlfn.LET(
      _xlpm.REM_1,"---- initialize the model parameters ----",
      _xlpm.cp,_xlfn.SWITCH(UPPER(TRIM(_xlpm.type)),"C",1,"P",-1),
      _xlpm.df,EXP(-_xlpm.r*_xlpm.tau),
      _xlpm.dt,_xlpm.tau/_xlpm.n,
      _xlpm.u,EXP(_xlpm.vol*SQRT(_xlpm.dt)),
      _xlpm.d,1/_xlpm.u,
      _xlpm.p,(EXP(_xlpm.r*_xlpm.dt)-_xlpm.d)/(_xlpm.u-_xlpm.d),
      _xlpm.disc,EXP(-_xlpm.r*_xlpm.dt),
      _xlpm.REM_2, "---- define the maximization function ----",
      _xlpm.f_cont,_xlfn.SWITCH(
        _xlpm.ea,
        "E",_xlfn.LAMBDA(_xlpm.v,_xlpm.s,_xlpm.v),
        "A",_xlfn.LAMBDA(_xlpm.v,_xlpm.s,_xlfn.LET(_xlpm.ex, _xlpm.cp * (_xlpm.s - _xlpm.strike), IF(_xlpm.ex &gt; _xlpm.v, _xlpm.ex, _xlpm.v)))),
      _xlpm.REM_3, "---- calculate S at the maturity ----",
      _xlpm.j, _xlfn.SEQUENCE(_xlpm.n+1,1, 0),
      _xlpm.s_n, _xlpm.spot * _xlpm.u^(_xlpm.n - _xlpm.j) * _xlpm.d^_xlpm.j,
      _xlpm.REM_4, "---- calculate payoff at the maturity ----",
      _xlpm.payoff_calc,_xlpm.cp*(_xlpm.s_n-_xlpm.strike),
      _xlpm.payoff_final,IF(_xlpm.payoff_calc&gt;0,_xlpm.payoff_calc,0),
      _xlpm.REM_5, "---- calculate option prices backward ----",
      _xlpm.rslt,_xlfn.REDUCE(_xlfn.HSTACK(_xlpm.payoff_final,_xlpm.s_n),_xlfn.SEQUENCE(_xlpm.n,,_xlpm.n-1,-1),_xlfn.LAMBDA(_xlpm.prev_step,_xlpm.col,
        _xlfn.LET(
          _xlpm.v_opt,_xlfn.CHOOSECOLS(_xlpm.prev_step,1),
          _xlpm.v_s,_xlfn.CHOOSECOLS(_xlpm.prev_step,2),
          _xlpm.v_up, _xlfn.DROP(_xlpm.v_opt,-1),
          _xlpm.v_dw, _xlfn.DROP(_xlpm.v_opt,1),
          _xlpm.v_cont,_xlpm.disc * (_xlpm.p * _xlpm.v_up + (1 - _xlpm.p) * _xlpm.v_dw),
          _xlpm.s_current,_xlfn.DROP(_xlpm.v_s, -1) / _xlpm.u,
          _xlpm.v_final,_xlpm.f_cont(_xlpm.v_cont,_xlpm.s_current),
          _xlfn.HSTACK(_xlpm.v_final,_xlpm.s_current)
        ))),
      INDEX(_xlpm.rslt,1,1)
    )
)</f>
        <v>#VALUE!</v>
      </c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67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43" zoomScale="85" zoomScaleNormal="85" workbookViewId="0">
      <selection activeCell="I41" sqref="I4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3" t="s">
        <v>102</v>
      </c>
      <c r="E2" s="13"/>
    </row>
    <row r="4" spans="2:5" x14ac:dyDescent="0.25">
      <c r="B4" s="19" t="s">
        <v>59</v>
      </c>
      <c r="C4" s="22">
        <v>11</v>
      </c>
      <c r="D4" s="23">
        <v>-3</v>
      </c>
    </row>
    <row r="5" spans="2:5" x14ac:dyDescent="0.25">
      <c r="B5" s="20" t="s">
        <v>60</v>
      </c>
      <c r="C5">
        <v>3</v>
      </c>
      <c r="D5" s="24">
        <v>4</v>
      </c>
    </row>
    <row r="6" spans="2:5" x14ac:dyDescent="0.25">
      <c r="B6" s="20" t="s">
        <v>61</v>
      </c>
      <c r="C6" t="str">
        <f>COMPLEX(C4,C5)</f>
        <v>11+3i</v>
      </c>
      <c r="D6" s="24" t="str">
        <f>COMPLEX(D4,D5)</f>
        <v>-3+4i</v>
      </c>
    </row>
    <row r="7" spans="2:5" x14ac:dyDescent="0.25">
      <c r="B7" s="20" t="s">
        <v>68</v>
      </c>
      <c r="C7" t="str">
        <f>IMSUM(C6:D6)</f>
        <v>8+7i</v>
      </c>
      <c r="D7" s="24"/>
    </row>
    <row r="8" spans="2:5" x14ac:dyDescent="0.25">
      <c r="B8" s="20" t="s">
        <v>69</v>
      </c>
      <c r="C8" t="str">
        <f>IMSUB(C6,D6)</f>
        <v>14-i</v>
      </c>
      <c r="D8" s="24"/>
    </row>
    <row r="9" spans="2:5" x14ac:dyDescent="0.25">
      <c r="B9" s="20" t="s">
        <v>70</v>
      </c>
      <c r="C9" t="str">
        <f>IMPRODUCT(C6:D6)</f>
        <v>-45+35i</v>
      </c>
      <c r="D9" s="24"/>
    </row>
    <row r="10" spans="2:5" x14ac:dyDescent="0.25">
      <c r="B10" s="21" t="s">
        <v>71</v>
      </c>
      <c r="C10" s="25" t="str">
        <f>IMDIV(C6,D6)</f>
        <v>-0.84-2.12i</v>
      </c>
      <c r="D10" s="26"/>
    </row>
    <row r="12" spans="2:5" x14ac:dyDescent="0.25">
      <c r="B12" s="19" t="s">
        <v>59</v>
      </c>
      <c r="C12" s="27">
        <v>4</v>
      </c>
      <c r="D12" s="22"/>
      <c r="E12" s="23"/>
    </row>
    <row r="13" spans="2:5" x14ac:dyDescent="0.25">
      <c r="B13" s="20" t="s">
        <v>60</v>
      </c>
      <c r="C13" s="28">
        <v>5</v>
      </c>
      <c r="E13" s="24"/>
    </row>
    <row r="14" spans="2:5" x14ac:dyDescent="0.25">
      <c r="B14" s="20" t="s">
        <v>61</v>
      </c>
      <c r="C14" s="28" t="str">
        <f>COMPLEX(C12,C13)</f>
        <v>4+5i</v>
      </c>
      <c r="E14" s="24"/>
    </row>
    <row r="15" spans="2:5" x14ac:dyDescent="0.25">
      <c r="B15" s="20" t="s">
        <v>62</v>
      </c>
      <c r="C15" s="28" t="str">
        <f>IMCONJUGATE(C14)</f>
        <v>4-5i</v>
      </c>
      <c r="E15" s="24"/>
    </row>
    <row r="16" spans="2:5" x14ac:dyDescent="0.25">
      <c r="B16" s="20" t="s">
        <v>63</v>
      </c>
      <c r="C16" s="28" t="str">
        <f>IMSQRT(C14)</f>
        <v>2.2806933416653+1.09615788950152i</v>
      </c>
      <c r="E16" s="24"/>
    </row>
    <row r="17" spans="2:5" x14ac:dyDescent="0.25">
      <c r="B17" s="20" t="s">
        <v>64</v>
      </c>
      <c r="C17" s="28" t="str">
        <f>IMEXP(C14)</f>
        <v>15.4874305606508-52.355491418482i</v>
      </c>
      <c r="E17" s="24"/>
    </row>
    <row r="18" spans="2:5" x14ac:dyDescent="0.25">
      <c r="B18" s="21" t="s">
        <v>65</v>
      </c>
      <c r="C18" s="29" t="str">
        <f>IMLN(C14)</f>
        <v>1.85678603335215+0.896055384571344i</v>
      </c>
      <c r="D18" s="25"/>
      <c r="E18" s="26"/>
    </row>
    <row r="19" spans="2:5" x14ac:dyDescent="0.25">
      <c r="B19" s="13"/>
    </row>
    <row r="20" spans="2:5" x14ac:dyDescent="0.25">
      <c r="B20" s="13"/>
    </row>
    <row r="21" spans="2:5" x14ac:dyDescent="0.25">
      <c r="B21" s="13" t="s">
        <v>103</v>
      </c>
    </row>
    <row r="22" spans="2:5" x14ac:dyDescent="0.25">
      <c r="B22" s="13"/>
    </row>
    <row r="23" spans="2:5" x14ac:dyDescent="0.25">
      <c r="B23" s="13" t="s">
        <v>74</v>
      </c>
    </row>
    <row r="24" spans="2:5" x14ac:dyDescent="0.25">
      <c r="B24" s="30" t="s">
        <v>66</v>
      </c>
      <c r="C24" s="31" t="s">
        <v>72</v>
      </c>
      <c r="D24" s="31" t="s">
        <v>73</v>
      </c>
      <c r="E24" s="32" t="s">
        <v>54</v>
      </c>
    </row>
    <row r="25" spans="2:5" x14ac:dyDescent="0.25">
      <c r="B25" s="33">
        <v>3.5</v>
      </c>
      <c r="C25" s="34" cm="1">
        <f t="array" ref="C25">_xlfn.LAMBDA(_xlpm.x,2*_xlpm.x-7)(B25)</f>
        <v>0</v>
      </c>
      <c r="D25" s="34" cm="1">
        <f t="array" ref="D25">BRISTO.BISECT(_xlfn.LAMBDA(_xlpm.x,2*_xlpm.x-7),C25,-10,10)</f>
        <v>3.4999990463256836</v>
      </c>
      <c r="E25" s="35">
        <f>B25-D25</f>
        <v>9.5367431640625E-7</v>
      </c>
    </row>
    <row r="27" spans="2:5" x14ac:dyDescent="0.25">
      <c r="B27" s="30" t="s">
        <v>75</v>
      </c>
      <c r="C27" s="36"/>
      <c r="D27" s="37"/>
    </row>
    <row r="28" spans="2:5" x14ac:dyDescent="0.25">
      <c r="B28" s="38" cm="1">
        <f t="array" ref="B28">BRISTO.ROOT_SOLVER(_xlfn.LAMBDA(_xlpm.x,2*_xlpm.x-7),0)</f>
        <v>3.5</v>
      </c>
      <c r="C28" s="36"/>
      <c r="D28" s="37"/>
    </row>
    <row r="31" spans="2:5" x14ac:dyDescent="0.25">
      <c r="B31" s="13" t="s">
        <v>104</v>
      </c>
    </row>
    <row r="33" spans="2:16" x14ac:dyDescent="0.25">
      <c r="B33" s="13" t="s">
        <v>105</v>
      </c>
    </row>
    <row r="34" spans="2:16" x14ac:dyDescent="0.25">
      <c r="B34" s="30" t="s">
        <v>66</v>
      </c>
      <c r="C34" s="32" t="s">
        <v>67</v>
      </c>
    </row>
    <row r="35" spans="2:16" x14ac:dyDescent="0.25">
      <c r="B35" s="28" cm="1">
        <f t="array" ref="B35:B42">_xlfn.SEQUENCE(8,,,3)</f>
        <v>1</v>
      </c>
      <c r="C35" s="24" cm="1">
        <f t="array" ref="C35:C42">_xlfn.ANCHORARRAY(B35)*2+3+MOD(_xlfn.ANCHORARRAY(B35),2)*3.5</f>
        <v>8.5</v>
      </c>
      <c r="E35" s="3"/>
    </row>
    <row r="36" spans="2:16" x14ac:dyDescent="0.25">
      <c r="B36" s="28">
        <v>4</v>
      </c>
      <c r="C36" s="24">
        <v>11</v>
      </c>
      <c r="E36" s="3"/>
    </row>
    <row r="37" spans="2:16" x14ac:dyDescent="0.25">
      <c r="B37" s="28">
        <v>7</v>
      </c>
      <c r="C37" s="24">
        <v>20.5</v>
      </c>
      <c r="E37" s="3"/>
    </row>
    <row r="38" spans="2:16" x14ac:dyDescent="0.25">
      <c r="B38" s="28">
        <v>10</v>
      </c>
      <c r="C38" s="24">
        <v>23</v>
      </c>
      <c r="E38" s="3"/>
    </row>
    <row r="39" spans="2:16" x14ac:dyDescent="0.25">
      <c r="B39" s="28">
        <v>13</v>
      </c>
      <c r="C39" s="24">
        <v>32.5</v>
      </c>
      <c r="E39" s="3"/>
    </row>
    <row r="40" spans="2:16" x14ac:dyDescent="0.25">
      <c r="B40" s="28">
        <v>16</v>
      </c>
      <c r="C40" s="24">
        <v>35</v>
      </c>
      <c r="E40" s="3"/>
    </row>
    <row r="41" spans="2:16" x14ac:dyDescent="0.25">
      <c r="B41" s="28">
        <v>19</v>
      </c>
      <c r="C41" s="24">
        <v>44.5</v>
      </c>
      <c r="E41" s="3"/>
    </row>
    <row r="42" spans="2:16" x14ac:dyDescent="0.25">
      <c r="B42" s="29">
        <v>22</v>
      </c>
      <c r="C42" s="26">
        <v>47</v>
      </c>
      <c r="E42" s="3"/>
    </row>
    <row r="43" spans="2:16" x14ac:dyDescent="0.25">
      <c r="E43" s="10"/>
    </row>
    <row r="44" spans="2:16" x14ac:dyDescent="0.25">
      <c r="B44" s="45" t="s">
        <v>77</v>
      </c>
      <c r="C44" s="46" t="s">
        <v>82</v>
      </c>
      <c r="D44" s="46" t="s">
        <v>88</v>
      </c>
      <c r="E44" s="46" t="s">
        <v>89</v>
      </c>
      <c r="F44" s="46" t="s">
        <v>91</v>
      </c>
      <c r="G44" s="46" t="s">
        <v>92</v>
      </c>
      <c r="H44" s="46" t="s">
        <v>80</v>
      </c>
      <c r="I44" s="46" t="s">
        <v>78</v>
      </c>
      <c r="J44" s="46" t="s">
        <v>79</v>
      </c>
      <c r="K44" s="46" t="s">
        <v>86</v>
      </c>
      <c r="L44" s="46" t="s">
        <v>81</v>
      </c>
      <c r="M44" s="46" t="s">
        <v>90</v>
      </c>
      <c r="N44" s="46" t="s">
        <v>93</v>
      </c>
      <c r="O44" s="46" t="s">
        <v>95</v>
      </c>
      <c r="P44" s="47" t="s">
        <v>94</v>
      </c>
    </row>
    <row r="45" spans="2:16" x14ac:dyDescent="0.25">
      <c r="B45" s="39" cm="1">
        <f t="array" ref="B45:P46">BRISTO.OLS(_xlfn.ANCHORARRAY(C35),_xlfn.ANCHORARRAY(B35))</f>
        <v>5.3888888888888999</v>
      </c>
      <c r="C45" s="12">
        <v>1.3589362821449877</v>
      </c>
      <c r="D45" s="12">
        <v>3.9655199141367454</v>
      </c>
      <c r="E45" s="12">
        <v>7.4048164053508551E-3</v>
      </c>
      <c r="F45" s="12">
        <v>2.0636915951574464</v>
      </c>
      <c r="G45" s="12">
        <v>8.7140861826203526</v>
      </c>
      <c r="H45" s="12">
        <v>1452.5</v>
      </c>
      <c r="I45" s="12">
        <v>23.333333333333336</v>
      </c>
      <c r="J45" s="12">
        <v>1429.1666666666667</v>
      </c>
      <c r="K45" s="12">
        <v>3.8888888888888893</v>
      </c>
      <c r="L45" s="12">
        <v>0.98393574297188757</v>
      </c>
      <c r="M45" s="12">
        <v>0.98125836680053546</v>
      </c>
      <c r="N45" s="12">
        <v>367.5</v>
      </c>
      <c r="O45" s="12">
        <v>4.9142379763135512E-16</v>
      </c>
      <c r="P45" s="40">
        <v>1.1828571428571406</v>
      </c>
    </row>
    <row r="46" spans="2:16" x14ac:dyDescent="0.25">
      <c r="B46" s="41">
        <v>1.9444444444444446</v>
      </c>
      <c r="C46" s="42">
        <v>0.10143010324169743</v>
      </c>
      <c r="D46" s="42">
        <v>19.170289512680814</v>
      </c>
      <c r="E46" s="42">
        <v>1.303363892642445E-6</v>
      </c>
      <c r="F46" s="42">
        <v>1.6962539227594775</v>
      </c>
      <c r="G46" s="42">
        <v>2.192634966129412</v>
      </c>
      <c r="H46" s="42" t="e">
        <v>#N/A</v>
      </c>
      <c r="I46" s="42" t="e">
        <v>#N/A</v>
      </c>
      <c r="J46" s="42" t="e">
        <v>#N/A</v>
      </c>
      <c r="K46" s="42" t="e">
        <v>#N/A</v>
      </c>
      <c r="L46" s="42" t="e">
        <v>#N/A</v>
      </c>
      <c r="M46" s="42" t="e">
        <v>#N/A</v>
      </c>
      <c r="N46" s="42" t="e">
        <v>#N/A</v>
      </c>
      <c r="O46" s="42" t="e">
        <v>#N/A</v>
      </c>
      <c r="P46" s="43" t="e">
        <v>#N/A</v>
      </c>
    </row>
    <row r="48" spans="2:16" x14ac:dyDescent="0.25">
      <c r="B48" s="30" t="s">
        <v>66</v>
      </c>
      <c r="C48" s="32" t="s">
        <v>96</v>
      </c>
    </row>
    <row r="49" spans="2:10" x14ac:dyDescent="0.25">
      <c r="B49" s="28" cm="1">
        <f t="array" ref="B49:B70">_xlfn.SEQUENCE(22)</f>
        <v>1</v>
      </c>
      <c r="C49" s="24" cm="1">
        <f t="array" ref="C49:C70">_xlfn.ANCHORARRAY(B49)*B46+B45</f>
        <v>7.3333333333333446</v>
      </c>
    </row>
    <row r="50" spans="2:10" x14ac:dyDescent="0.25">
      <c r="B50" s="28">
        <v>2</v>
      </c>
      <c r="C50" s="24">
        <v>9.2777777777777892</v>
      </c>
    </row>
    <row r="51" spans="2:10" x14ac:dyDescent="0.25">
      <c r="B51" s="28">
        <v>3</v>
      </c>
      <c r="C51" s="24">
        <v>11.222222222222234</v>
      </c>
    </row>
    <row r="52" spans="2:10" x14ac:dyDescent="0.25">
      <c r="B52" s="28">
        <v>4</v>
      </c>
      <c r="C52" s="24">
        <v>13.166666666666679</v>
      </c>
    </row>
    <row r="53" spans="2:10" x14ac:dyDescent="0.25">
      <c r="B53" s="28">
        <v>5</v>
      </c>
      <c r="C53" s="24">
        <v>15.111111111111123</v>
      </c>
    </row>
    <row r="54" spans="2:10" x14ac:dyDescent="0.25">
      <c r="B54" s="28">
        <v>6</v>
      </c>
      <c r="C54" s="24">
        <v>17.055555555555568</v>
      </c>
    </row>
    <row r="55" spans="2:10" x14ac:dyDescent="0.25">
      <c r="B55" s="28">
        <v>7</v>
      </c>
      <c r="C55" s="24">
        <v>19.000000000000014</v>
      </c>
    </row>
    <row r="56" spans="2:10" x14ac:dyDescent="0.25">
      <c r="B56" s="28">
        <v>8</v>
      </c>
      <c r="C56" s="24">
        <v>20.944444444444457</v>
      </c>
    </row>
    <row r="57" spans="2:10" x14ac:dyDescent="0.25">
      <c r="B57" s="28">
        <v>9</v>
      </c>
      <c r="C57" s="24">
        <v>22.8888888888889</v>
      </c>
    </row>
    <row r="58" spans="2:10" x14ac:dyDescent="0.25">
      <c r="B58" s="28">
        <v>10</v>
      </c>
      <c r="C58" s="24">
        <v>24.833333333333346</v>
      </c>
    </row>
    <row r="59" spans="2:10" x14ac:dyDescent="0.25">
      <c r="B59" s="28">
        <v>11</v>
      </c>
      <c r="C59" s="24">
        <v>26.777777777777793</v>
      </c>
    </row>
    <row r="60" spans="2:10" x14ac:dyDescent="0.25">
      <c r="B60" s="28">
        <v>12</v>
      </c>
      <c r="C60" s="24">
        <v>28.722222222222236</v>
      </c>
    </row>
    <row r="61" spans="2:10" x14ac:dyDescent="0.25">
      <c r="B61" s="28">
        <v>13</v>
      </c>
      <c r="C61" s="24">
        <v>30.666666666666679</v>
      </c>
      <c r="F61" s="13"/>
      <c r="G61" s="13"/>
      <c r="H61" s="13"/>
      <c r="I61" s="13"/>
      <c r="J61" s="13"/>
    </row>
    <row r="62" spans="2:10" x14ac:dyDescent="0.25">
      <c r="B62" s="28">
        <v>14</v>
      </c>
      <c r="C62" s="24">
        <v>32.611111111111128</v>
      </c>
      <c r="E62" s="13"/>
    </row>
    <row r="63" spans="2:10" x14ac:dyDescent="0.25">
      <c r="B63" s="28">
        <v>15</v>
      </c>
      <c r="C63" s="24">
        <v>34.555555555555571</v>
      </c>
      <c r="E63" s="13"/>
    </row>
    <row r="64" spans="2:10" x14ac:dyDescent="0.25">
      <c r="B64" s="28">
        <v>16</v>
      </c>
      <c r="C64" s="24">
        <v>36.500000000000014</v>
      </c>
      <c r="E64" s="13"/>
    </row>
    <row r="65" spans="2:10" x14ac:dyDescent="0.25">
      <c r="B65" s="28">
        <v>17</v>
      </c>
      <c r="C65" s="24">
        <v>38.444444444444457</v>
      </c>
    </row>
    <row r="66" spans="2:10" x14ac:dyDescent="0.25">
      <c r="B66" s="28">
        <v>18</v>
      </c>
      <c r="C66" s="24">
        <v>40.3888888888889</v>
      </c>
    </row>
    <row r="67" spans="2:10" x14ac:dyDescent="0.25">
      <c r="B67" s="28">
        <v>19</v>
      </c>
      <c r="C67" s="24">
        <v>42.33333333333335</v>
      </c>
      <c r="F67" s="13"/>
      <c r="G67" s="13"/>
      <c r="H67" s="13"/>
      <c r="I67" s="13"/>
      <c r="J67" s="13"/>
    </row>
    <row r="68" spans="2:10" x14ac:dyDescent="0.25">
      <c r="B68" s="28">
        <v>20</v>
      </c>
      <c r="C68" s="24">
        <v>44.277777777777793</v>
      </c>
      <c r="E68" s="13"/>
    </row>
    <row r="69" spans="2:10" x14ac:dyDescent="0.25">
      <c r="B69" s="28">
        <v>21</v>
      </c>
      <c r="C69" s="24">
        <v>46.222222222222236</v>
      </c>
      <c r="E69" s="13"/>
    </row>
    <row r="70" spans="2:10" x14ac:dyDescent="0.25">
      <c r="B70" s="29">
        <v>22</v>
      </c>
      <c r="C70" s="26">
        <v>48.166666666666686</v>
      </c>
    </row>
    <row r="72" spans="2:10" x14ac:dyDescent="0.25">
      <c r="E72" s="13"/>
    </row>
    <row r="73" spans="2:10" x14ac:dyDescent="0.25">
      <c r="B73" s="13" t="s">
        <v>106</v>
      </c>
      <c r="E73" s="13"/>
    </row>
    <row r="74" spans="2:10" x14ac:dyDescent="0.25">
      <c r="B74" s="30" t="s">
        <v>87</v>
      </c>
      <c r="C74" s="44" t="s">
        <v>67</v>
      </c>
      <c r="D74" s="31" t="s">
        <v>97</v>
      </c>
      <c r="E74" s="31" t="s">
        <v>98</v>
      </c>
      <c r="F74" s="31" t="s">
        <v>99</v>
      </c>
      <c r="G74" s="31" t="s">
        <v>100</v>
      </c>
      <c r="H74" s="32" t="s">
        <v>101</v>
      </c>
    </row>
    <row r="75" spans="2:10" x14ac:dyDescent="0.25">
      <c r="B75" s="28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4">
        <v>34.03</v>
      </c>
    </row>
    <row r="76" spans="2:10" x14ac:dyDescent="0.25">
      <c r="B76" s="28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4">
        <v>16.760000000000002</v>
      </c>
    </row>
    <row r="77" spans="2:10" x14ac:dyDescent="0.25">
      <c r="B77" s="28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4">
        <v>19.989999999999998</v>
      </c>
    </row>
    <row r="78" spans="2:10" x14ac:dyDescent="0.25">
      <c r="B78" s="28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4">
        <v>38.76</v>
      </c>
    </row>
    <row r="79" spans="2:10" x14ac:dyDescent="0.25">
      <c r="B79" s="28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4">
        <v>35.590000000000003</v>
      </c>
    </row>
    <row r="80" spans="2:10" x14ac:dyDescent="0.25">
      <c r="B80" s="28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4">
        <v>24.01</v>
      </c>
    </row>
    <row r="81" spans="2:20" x14ac:dyDescent="0.25">
      <c r="B81" s="28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4">
        <v>54.9</v>
      </c>
    </row>
    <row r="82" spans="2:20" x14ac:dyDescent="0.25">
      <c r="B82" s="28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4">
        <v>60.17</v>
      </c>
      <c r="S82" s="3"/>
      <c r="T82" s="17"/>
    </row>
    <row r="83" spans="2:20" x14ac:dyDescent="0.25">
      <c r="B83" s="28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4">
        <v>70.33</v>
      </c>
      <c r="S83" s="3"/>
      <c r="T83" s="17"/>
    </row>
    <row r="84" spans="2:20" x14ac:dyDescent="0.25">
      <c r="B84" s="28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4">
        <v>45.87</v>
      </c>
      <c r="S84" s="3"/>
      <c r="T84" s="17"/>
    </row>
    <row r="85" spans="2:20" x14ac:dyDescent="0.25">
      <c r="B85" s="28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4">
        <v>34.18</v>
      </c>
      <c r="S85" s="3"/>
      <c r="T85" s="17"/>
    </row>
    <row r="86" spans="2:20" x14ac:dyDescent="0.25">
      <c r="B86" s="28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4">
        <v>10.54</v>
      </c>
      <c r="S86" s="3"/>
      <c r="T86" s="17"/>
    </row>
    <row r="87" spans="2:20" x14ac:dyDescent="0.25">
      <c r="B87" s="28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4">
        <v>12.44</v>
      </c>
      <c r="S87" s="3"/>
      <c r="T87" s="17"/>
    </row>
    <row r="88" spans="2:20" x14ac:dyDescent="0.25">
      <c r="B88" s="28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4">
        <v>42.65</v>
      </c>
      <c r="S88" s="3"/>
      <c r="T88" s="17"/>
    </row>
    <row r="89" spans="2:20" x14ac:dyDescent="0.25">
      <c r="B89" s="28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4">
        <v>36.659999999999997</v>
      </c>
      <c r="S89" s="3"/>
      <c r="T89" s="17"/>
    </row>
    <row r="90" spans="2:20" x14ac:dyDescent="0.25">
      <c r="B90" s="29">
        <v>2</v>
      </c>
      <c r="C90" s="34">
        <v>27.91</v>
      </c>
      <c r="D90" s="25">
        <v>31.67</v>
      </c>
      <c r="E90" s="25">
        <v>1.05</v>
      </c>
      <c r="F90" s="25">
        <v>32.65</v>
      </c>
      <c r="G90" s="25">
        <v>-28.44</v>
      </c>
      <c r="H90" s="26">
        <v>62.05</v>
      </c>
      <c r="S90" s="3"/>
      <c r="T90" s="17"/>
    </row>
    <row r="91" spans="2:20" x14ac:dyDescent="0.25">
      <c r="S91" s="3"/>
      <c r="T91" s="17"/>
    </row>
    <row r="92" spans="2:20" x14ac:dyDescent="0.25">
      <c r="B92" s="45" t="s">
        <v>77</v>
      </c>
      <c r="C92" s="46" t="s">
        <v>82</v>
      </c>
      <c r="D92" s="46" t="s">
        <v>88</v>
      </c>
      <c r="E92" s="46" t="s">
        <v>89</v>
      </c>
      <c r="F92" s="46" t="s">
        <v>91</v>
      </c>
      <c r="G92" s="46" t="s">
        <v>92</v>
      </c>
      <c r="H92" s="46" t="s">
        <v>80</v>
      </c>
      <c r="I92" s="46" t="s">
        <v>78</v>
      </c>
      <c r="J92" s="46" t="s">
        <v>79</v>
      </c>
      <c r="K92" s="46" t="s">
        <v>86</v>
      </c>
      <c r="L92" s="46" t="s">
        <v>81</v>
      </c>
      <c r="M92" s="46" t="s">
        <v>90</v>
      </c>
      <c r="N92" s="46" t="s">
        <v>93</v>
      </c>
      <c r="O92" s="46" t="s">
        <v>95</v>
      </c>
      <c r="P92" s="47" t="s">
        <v>94</v>
      </c>
      <c r="S92" s="3"/>
      <c r="T92" s="17"/>
    </row>
    <row r="93" spans="2:20" x14ac:dyDescent="0.25">
      <c r="B93" s="39" cm="1">
        <f t="array" ref="B93:P98">BRISTO.OLS(C75:C90,D75:H90,B75:B90)</f>
        <v>1.6167582779083887</v>
      </c>
      <c r="C93" s="12">
        <v>1.0913101007960007</v>
      </c>
      <c r="D93" s="12">
        <v>1.4814838392214336</v>
      </c>
      <c r="E93" s="12">
        <v>0.16928609209291148</v>
      </c>
      <c r="F93" s="12">
        <v>-0.81483215724023772</v>
      </c>
      <c r="G93" s="12">
        <v>4.048348713057015</v>
      </c>
      <c r="H93" s="12">
        <v>1800.2137343749998</v>
      </c>
      <c r="I93" s="12">
        <v>11.246229077227955</v>
      </c>
      <c r="J93" s="12">
        <v>1788.9675052977718</v>
      </c>
      <c r="K93" s="12">
        <v>1.1246229077227956</v>
      </c>
      <c r="L93" s="12">
        <v>0.99375283675350223</v>
      </c>
      <c r="M93" s="12">
        <v>0.99062925513025335</v>
      </c>
      <c r="N93" s="12">
        <v>318.14530773167007</v>
      </c>
      <c r="O93" s="12">
        <v>-0.73634851591496486</v>
      </c>
      <c r="P93" s="40">
        <v>2.6728669640443008</v>
      </c>
      <c r="S93" s="3"/>
      <c r="T93" s="17"/>
    </row>
    <row r="94" spans="2:20" x14ac:dyDescent="0.25">
      <c r="B94" s="39">
        <v>0.38370226964298126</v>
      </c>
      <c r="C94" s="12">
        <v>0.4286751909117103</v>
      </c>
      <c r="D94" s="12">
        <v>0.89508858403239944</v>
      </c>
      <c r="E94" s="12">
        <v>0.39177524463928615</v>
      </c>
      <c r="F94" s="12">
        <v>-0.57144557811003394</v>
      </c>
      <c r="G94" s="12">
        <v>1.3388501173959964</v>
      </c>
      <c r="H94" s="12" t="e">
        <v>#N/A</v>
      </c>
      <c r="I94" s="12" t="e">
        <v>#N/A</v>
      </c>
      <c r="J94" s="12" t="e">
        <v>#N/A</v>
      </c>
      <c r="K94" s="12" t="e">
        <v>#N/A</v>
      </c>
      <c r="L94" s="12" t="e">
        <v>#N/A</v>
      </c>
      <c r="M94" s="12" t="e">
        <v>#N/A</v>
      </c>
      <c r="N94" s="12" t="e">
        <v>#N/A</v>
      </c>
      <c r="O94" s="12" t="e">
        <v>#N/A</v>
      </c>
      <c r="P94" s="40" t="e">
        <v>#N/A</v>
      </c>
      <c r="S94" s="3"/>
      <c r="T94" s="17"/>
    </row>
    <row r="95" spans="2:20" x14ac:dyDescent="0.25">
      <c r="B95" s="39">
        <v>-8.5261840690915136E-2</v>
      </c>
      <c r="C95" s="12">
        <v>8.7554095098926907E-2</v>
      </c>
      <c r="D95" s="12">
        <v>-0.97381899264195737</v>
      </c>
      <c r="E95" s="12">
        <v>0.35311348361141748</v>
      </c>
      <c r="F95" s="12">
        <v>-0.28034452163133522</v>
      </c>
      <c r="G95" s="12">
        <v>0.10982084024950495</v>
      </c>
      <c r="H95" s="12" t="e">
        <v>#N/A</v>
      </c>
      <c r="I95" s="12" t="e">
        <v>#N/A</v>
      </c>
      <c r="J95" s="12" t="e">
        <v>#N/A</v>
      </c>
      <c r="K95" s="12" t="e">
        <v>#N/A</v>
      </c>
      <c r="L95" s="12" t="e">
        <v>#N/A</v>
      </c>
      <c r="M95" s="12" t="e">
        <v>#N/A</v>
      </c>
      <c r="N95" s="12" t="e">
        <v>#N/A</v>
      </c>
      <c r="O95" s="12" t="e">
        <v>#N/A</v>
      </c>
      <c r="P95" s="40" t="e">
        <v>#N/A</v>
      </c>
      <c r="S95" s="3"/>
      <c r="T95" s="17"/>
    </row>
    <row r="96" spans="2:20" x14ac:dyDescent="0.25">
      <c r="B96" s="39">
        <v>-8.9641254373660217E-2</v>
      </c>
      <c r="C96" s="12">
        <v>0.11135025181258409</v>
      </c>
      <c r="D96" s="12">
        <v>-0.80503863183477364</v>
      </c>
      <c r="E96" s="12">
        <v>0.43951860579172064</v>
      </c>
      <c r="F96" s="12">
        <v>-0.33774507661573394</v>
      </c>
      <c r="G96" s="12">
        <v>0.15846256786841348</v>
      </c>
      <c r="H96" s="12" t="e">
        <v>#N/A</v>
      </c>
      <c r="I96" s="12" t="e">
        <v>#N/A</v>
      </c>
      <c r="J96" s="12" t="e">
        <v>#N/A</v>
      </c>
      <c r="K96" s="12" t="e">
        <v>#N/A</v>
      </c>
      <c r="L96" s="12" t="e">
        <v>#N/A</v>
      </c>
      <c r="M96" s="12" t="e">
        <v>#N/A</v>
      </c>
      <c r="N96" s="12" t="e">
        <v>#N/A</v>
      </c>
      <c r="O96" s="12" t="e">
        <v>#N/A</v>
      </c>
      <c r="P96" s="40" t="e">
        <v>#N/A</v>
      </c>
      <c r="S96" s="3"/>
      <c r="T96" s="17"/>
    </row>
    <row r="97" spans="2:22" x14ac:dyDescent="0.25">
      <c r="B97" s="39">
        <v>-1.0631563592745152</v>
      </c>
      <c r="C97" s="12">
        <v>0.12214300486952828</v>
      </c>
      <c r="D97" s="12">
        <v>-8.7041935836617608</v>
      </c>
      <c r="E97" s="12">
        <v>5.5827784043519771E-6</v>
      </c>
      <c r="F97" s="12">
        <v>-1.3353079339226599</v>
      </c>
      <c r="G97" s="12">
        <v>-0.79100478462637058</v>
      </c>
      <c r="H97" s="12" t="e">
        <v>#N/A</v>
      </c>
      <c r="I97" s="12" t="e">
        <v>#N/A</v>
      </c>
      <c r="J97" s="12" t="e">
        <v>#N/A</v>
      </c>
      <c r="K97" s="12" t="e">
        <v>#N/A</v>
      </c>
      <c r="L97" s="12" t="e">
        <v>#N/A</v>
      </c>
      <c r="M97" s="12" t="e">
        <v>#N/A</v>
      </c>
      <c r="N97" s="12" t="e">
        <v>#N/A</v>
      </c>
      <c r="O97" s="12" t="e">
        <v>#N/A</v>
      </c>
      <c r="P97" s="40" t="e">
        <v>#N/A</v>
      </c>
      <c r="T97" s="17"/>
    </row>
    <row r="98" spans="2:22" x14ac:dyDescent="0.25">
      <c r="B98" s="41">
        <v>-0.21926020720252382</v>
      </c>
      <c r="C98" s="42">
        <v>0.21433201914663699</v>
      </c>
      <c r="D98" s="42">
        <v>-1.0229932423326593</v>
      </c>
      <c r="E98" s="42">
        <v>0.33042120410646814</v>
      </c>
      <c r="F98" s="42">
        <v>-0.6968217062878117</v>
      </c>
      <c r="G98" s="42">
        <v>0.25830129188276413</v>
      </c>
      <c r="H98" s="42" t="e">
        <v>#N/A</v>
      </c>
      <c r="I98" s="42" t="e">
        <v>#N/A</v>
      </c>
      <c r="J98" s="42" t="e">
        <v>#N/A</v>
      </c>
      <c r="K98" s="42" t="e">
        <v>#N/A</v>
      </c>
      <c r="L98" s="42" t="e">
        <v>#N/A</v>
      </c>
      <c r="M98" s="42" t="e">
        <v>#N/A</v>
      </c>
      <c r="N98" s="42" t="e">
        <v>#N/A</v>
      </c>
      <c r="O98" s="42" t="e">
        <v>#N/A</v>
      </c>
      <c r="P98" s="43" t="e">
        <v>#N/A</v>
      </c>
    </row>
    <row r="99" spans="2:22" x14ac:dyDescent="0.25">
      <c r="R99" s="18"/>
      <c r="U99" s="11"/>
      <c r="V99" s="9"/>
    </row>
    <row r="100" spans="2:22" x14ac:dyDescent="0.25">
      <c r="U100" s="11"/>
      <c r="V100" s="9"/>
    </row>
    <row r="101" spans="2:22" x14ac:dyDescent="0.25">
      <c r="B101" s="13" t="s">
        <v>107</v>
      </c>
      <c r="U101" s="11"/>
      <c r="V101" s="9"/>
    </row>
    <row r="102" spans="2:22" x14ac:dyDescent="0.25">
      <c r="U102" s="11"/>
      <c r="V102" s="9"/>
    </row>
    <row r="103" spans="2:22" x14ac:dyDescent="0.25">
      <c r="B103" s="52" t="s">
        <v>97</v>
      </c>
      <c r="C103" s="48" t="s">
        <v>110</v>
      </c>
      <c r="F103" s="30" t="s">
        <v>109</v>
      </c>
      <c r="G103" s="44" t="s">
        <v>97</v>
      </c>
      <c r="H103" s="48" t="s">
        <v>110</v>
      </c>
      <c r="M103" s="3"/>
      <c r="N103" s="3"/>
      <c r="O103" s="3"/>
    </row>
    <row r="104" spans="2:22" x14ac:dyDescent="0.25">
      <c r="B104" s="33">
        <v>10000</v>
      </c>
      <c r="C104" s="35">
        <v>10000</v>
      </c>
      <c r="F104" s="51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49">
        <v>3.0000062322743464</v>
      </c>
      <c r="H104" s="50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0" t="s">
        <v>97</v>
      </c>
      <c r="C106" s="31" t="s">
        <v>110</v>
      </c>
      <c r="D106" s="48" t="s">
        <v>99</v>
      </c>
      <c r="F106" s="30" t="s">
        <v>109</v>
      </c>
      <c r="G106" s="44" t="s">
        <v>97</v>
      </c>
      <c r="H106" s="44" t="s">
        <v>110</v>
      </c>
      <c r="I106" s="48" t="s">
        <v>99</v>
      </c>
      <c r="M106" s="9"/>
      <c r="N106" s="3"/>
      <c r="O106" s="3"/>
    </row>
    <row r="107" spans="2:22" x14ac:dyDescent="0.25">
      <c r="B107" s="33">
        <v>10000</v>
      </c>
      <c r="C107" s="34">
        <v>10000</v>
      </c>
      <c r="D107" s="35">
        <v>10000</v>
      </c>
      <c r="F107" s="51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49">
        <v>9.9999893224415892</v>
      </c>
      <c r="H107" s="49">
        <v>-10.000001607751738</v>
      </c>
      <c r="I107" s="50">
        <v>1.9999977822096282</v>
      </c>
      <c r="M107" s="9"/>
      <c r="N107" s="3"/>
      <c r="O107" s="3"/>
    </row>
    <row r="108" spans="2:22" x14ac:dyDescent="0.25">
      <c r="M108" s="9"/>
      <c r="N108" s="3"/>
      <c r="O108" s="3"/>
    </row>
    <row r="109" spans="2:22" x14ac:dyDescent="0.25">
      <c r="M109" s="9"/>
      <c r="N109" s="3"/>
      <c r="O109" s="3"/>
    </row>
    <row r="110" spans="2:22" x14ac:dyDescent="0.25">
      <c r="B110" s="13" t="s">
        <v>116</v>
      </c>
      <c r="M110" s="9"/>
      <c r="N110" s="3"/>
      <c r="O110" s="3"/>
    </row>
    <row r="111" spans="2:22" x14ac:dyDescent="0.25">
      <c r="M111" s="9"/>
      <c r="N111" s="3"/>
      <c r="O111" s="3"/>
    </row>
    <row r="112" spans="2:22" x14ac:dyDescent="0.25">
      <c r="B112" s="30" t="s">
        <v>117</v>
      </c>
      <c r="C112" s="36"/>
      <c r="D112" s="36"/>
      <c r="E112" s="37"/>
      <c r="G112" s="30" t="s">
        <v>113</v>
      </c>
      <c r="H112" s="31" t="s">
        <v>77</v>
      </c>
      <c r="I112" s="32" t="s">
        <v>114</v>
      </c>
      <c r="J112" s="56" t="s">
        <v>115</v>
      </c>
      <c r="L112" s="56" t="s">
        <v>66</v>
      </c>
      <c r="N112" s="3"/>
      <c r="O112" s="3"/>
    </row>
    <row r="113" spans="2:16" x14ac:dyDescent="0.25">
      <c r="B113" s="27">
        <v>2</v>
      </c>
      <c r="C113" s="22">
        <v>-1</v>
      </c>
      <c r="D113" s="22">
        <v>0</v>
      </c>
      <c r="E113" s="23">
        <v>0</v>
      </c>
      <c r="F113" s="3"/>
      <c r="G113" s="28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4" cm="1">
        <f t="array" ref="I113:I116">_xlfn.LET(_xlpm.m,B113:E116,_xlfn.MAP(_xlfn.SEQUENCE(ROWS(_xlpm.m)),_xlfn.LAMBDA(_xlpm.i,IF(_xlpm.i=ROWS(_xlpm.m),0,INDEX(_xlpm.m,_xlpm.i,_xlpm.i+1)))))</f>
        <v>-1</v>
      </c>
      <c r="J113" s="53">
        <v>0</v>
      </c>
      <c r="L113" s="57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28">
        <v>-1</v>
      </c>
      <c r="C114">
        <v>2</v>
      </c>
      <c r="D114">
        <v>-1</v>
      </c>
      <c r="E114" s="24">
        <v>0</v>
      </c>
      <c r="F114" s="3"/>
      <c r="G114" s="28">
        <v>-1</v>
      </c>
      <c r="H114">
        <v>2</v>
      </c>
      <c r="I114" s="24">
        <v>-1</v>
      </c>
      <c r="J114" s="54">
        <v>0</v>
      </c>
      <c r="L114" s="57">
        <v>1.9999999999999987</v>
      </c>
      <c r="N114" s="3"/>
      <c r="O114" s="3"/>
    </row>
    <row r="115" spans="2:16" x14ac:dyDescent="0.25">
      <c r="B115" s="28">
        <v>0</v>
      </c>
      <c r="C115">
        <v>-1</v>
      </c>
      <c r="D115">
        <v>2</v>
      </c>
      <c r="E115" s="24">
        <v>-1</v>
      </c>
      <c r="F115" s="3"/>
      <c r="G115" s="28">
        <v>-1</v>
      </c>
      <c r="H115">
        <v>2</v>
      </c>
      <c r="I115" s="24">
        <v>-1</v>
      </c>
      <c r="J115" s="54">
        <v>1</v>
      </c>
      <c r="L115" s="57">
        <v>2.9999999999999982</v>
      </c>
      <c r="N115" s="3"/>
      <c r="O115" s="3"/>
    </row>
    <row r="116" spans="2:16" x14ac:dyDescent="0.25">
      <c r="B116" s="29">
        <v>0</v>
      </c>
      <c r="C116" s="25">
        <v>0</v>
      </c>
      <c r="D116" s="25">
        <v>-1</v>
      </c>
      <c r="E116" s="26">
        <v>1</v>
      </c>
      <c r="F116" s="3"/>
      <c r="G116" s="29">
        <v>-1</v>
      </c>
      <c r="H116" s="25">
        <v>1</v>
      </c>
      <c r="I116" s="26">
        <v>0</v>
      </c>
      <c r="J116" s="55">
        <v>0</v>
      </c>
      <c r="L116" s="58">
        <v>2.9999999999999982</v>
      </c>
      <c r="N116" s="3"/>
      <c r="O116" s="3"/>
    </row>
    <row r="117" spans="2:16" x14ac:dyDescent="0.25">
      <c r="M117" s="9"/>
      <c r="N117" s="3"/>
      <c r="O117" s="3"/>
    </row>
    <row r="118" spans="2:16" x14ac:dyDescent="0.25">
      <c r="M118" s="9"/>
      <c r="N118" s="3"/>
      <c r="O118" s="3"/>
    </row>
    <row r="119" spans="2:16" x14ac:dyDescent="0.25">
      <c r="B119" s="13" t="s">
        <v>111</v>
      </c>
      <c r="M119" s="9"/>
      <c r="N119" s="3"/>
      <c r="O119" s="3"/>
    </row>
    <row r="120" spans="2:16" x14ac:dyDescent="0.25">
      <c r="B120" s="3"/>
      <c r="C120" s="3"/>
      <c r="D120" s="3"/>
      <c r="E120" s="3"/>
      <c r="F120" s="3"/>
      <c r="M120" s="9"/>
      <c r="N120" s="3"/>
      <c r="O120" s="3"/>
    </row>
    <row r="121" spans="2:16" x14ac:dyDescent="0.25">
      <c r="B121" s="52" t="s">
        <v>120</v>
      </c>
      <c r="C121" s="48" t="s">
        <v>121</v>
      </c>
      <c r="D121" s="3"/>
      <c r="E121" s="52" t="s">
        <v>66</v>
      </c>
      <c r="F121" s="48" t="s">
        <v>112</v>
      </c>
      <c r="L121" s="9"/>
      <c r="M121" s="3"/>
      <c r="N121" s="3"/>
    </row>
    <row r="122" spans="2:16" x14ac:dyDescent="0.25">
      <c r="B122" s="59" cm="1">
        <f t="array" ref="B122:B130">_xlfn.SEQUENCE(9,,1)</f>
        <v>1</v>
      </c>
      <c r="C122" s="60">
        <v>0.4</v>
      </c>
      <c r="D122" s="3"/>
      <c r="E122" s="59" cm="1">
        <f t="array" ref="E122:E201">_xlfn.SEQUENCE(80,,1,0.1)</f>
        <v>1</v>
      </c>
      <c r="F122" s="40" cm="1">
        <f t="array" ref="F122:F201">BRISTO.NSPLINE(_xlfn.ANCHORARRAY(B122),C122:C130,_xlfn.ANCHORARRAY(E122))</f>
        <v>0.4</v>
      </c>
      <c r="H122" s="15"/>
      <c r="I122" s="3"/>
      <c r="L122" s="9"/>
      <c r="M122" s="3"/>
      <c r="N122" s="3"/>
    </row>
    <row r="123" spans="2:16" x14ac:dyDescent="0.25">
      <c r="B123" s="59">
        <v>2</v>
      </c>
      <c r="C123" s="60">
        <v>0.5</v>
      </c>
      <c r="D123" s="3"/>
      <c r="E123" s="59">
        <v>1.1000000000000001</v>
      </c>
      <c r="F123" s="40">
        <v>0.39906935751104566</v>
      </c>
      <c r="H123" s="15"/>
      <c r="I123" s="3"/>
      <c r="L123" s="9"/>
      <c r="M123" s="3"/>
      <c r="N123" s="3"/>
    </row>
    <row r="124" spans="2:16" x14ac:dyDescent="0.25">
      <c r="B124" s="59">
        <v>3</v>
      </c>
      <c r="C124" s="60">
        <v>0.8</v>
      </c>
      <c r="D124" s="3"/>
      <c r="E124" s="59">
        <v>1.2000000000000002</v>
      </c>
      <c r="F124" s="40">
        <v>0.39880117820324007</v>
      </c>
      <c r="H124" s="15"/>
      <c r="I124" s="3"/>
      <c r="L124" s="9"/>
      <c r="M124" s="3"/>
      <c r="N124" s="3"/>
      <c r="O124" s="3"/>
      <c r="P124" s="3"/>
    </row>
    <row r="125" spans="2:16" x14ac:dyDescent="0.25">
      <c r="B125" s="59">
        <v>4</v>
      </c>
      <c r="C125" s="60">
        <v>0.4</v>
      </c>
      <c r="D125" s="3"/>
      <c r="E125" s="59">
        <v>1.3000000000000003</v>
      </c>
      <c r="F125" s="40">
        <v>0.39985792525773195</v>
      </c>
      <c r="H125" s="15"/>
      <c r="I125" s="3"/>
      <c r="L125" s="9"/>
      <c r="M125" s="3"/>
      <c r="N125" s="3"/>
      <c r="O125" s="3"/>
      <c r="P125" s="3"/>
    </row>
    <row r="126" spans="2:16" x14ac:dyDescent="0.25">
      <c r="B126" s="59">
        <v>5</v>
      </c>
      <c r="C126" s="60">
        <v>0.3</v>
      </c>
      <c r="D126" s="3"/>
      <c r="E126" s="59">
        <v>1.4000000000000004</v>
      </c>
      <c r="F126" s="40">
        <v>0.40290206185567012</v>
      </c>
      <c r="H126" s="15"/>
      <c r="I126" s="3"/>
      <c r="L126" s="9"/>
      <c r="M126" s="3"/>
      <c r="N126" s="3"/>
      <c r="O126" s="3"/>
      <c r="P126" s="3"/>
    </row>
    <row r="127" spans="2:16" x14ac:dyDescent="0.25">
      <c r="B127" s="59">
        <v>6</v>
      </c>
      <c r="C127" s="60">
        <v>0.1</v>
      </c>
      <c r="D127" s="3"/>
      <c r="E127" s="59">
        <v>1.5000000000000004</v>
      </c>
      <c r="F127" s="40">
        <v>0.4085960511782033</v>
      </c>
      <c r="H127" s="15"/>
      <c r="I127" s="3"/>
      <c r="L127" s="9"/>
      <c r="M127" s="3"/>
      <c r="N127" s="3"/>
      <c r="O127" s="3"/>
      <c r="P127" s="3"/>
    </row>
    <row r="128" spans="2:16" x14ac:dyDescent="0.25">
      <c r="B128" s="59">
        <v>7</v>
      </c>
      <c r="C128" s="60">
        <v>0.2</v>
      </c>
      <c r="E128" s="59">
        <v>1.6000000000000005</v>
      </c>
      <c r="F128" s="40">
        <v>0.41760235640648019</v>
      </c>
      <c r="H128" s="15"/>
      <c r="I128" s="3"/>
      <c r="L128" s="9"/>
      <c r="M128" s="3"/>
      <c r="N128" s="3"/>
    </row>
    <row r="129" spans="2:9" x14ac:dyDescent="0.25">
      <c r="B129" s="59">
        <v>8</v>
      </c>
      <c r="C129" s="60">
        <v>0.6</v>
      </c>
      <c r="E129" s="59">
        <v>1.7000000000000006</v>
      </c>
      <c r="F129" s="40">
        <v>0.43058344072164956</v>
      </c>
      <c r="H129" s="15"/>
      <c r="I129" s="3"/>
    </row>
    <row r="130" spans="2:9" x14ac:dyDescent="0.25">
      <c r="B130" s="33">
        <v>9</v>
      </c>
      <c r="C130" s="35">
        <v>0.7</v>
      </c>
      <c r="E130" s="59">
        <v>1.8000000000000007</v>
      </c>
      <c r="F130" s="40">
        <v>0.44820176730486022</v>
      </c>
      <c r="H130" s="15"/>
      <c r="I130" s="3"/>
    </row>
    <row r="131" spans="2:9" x14ac:dyDescent="0.25">
      <c r="B131" s="3"/>
      <c r="C131" s="3"/>
      <c r="E131" s="59">
        <v>1.9000000000000008</v>
      </c>
      <c r="F131" s="40">
        <v>0.47111979933726089</v>
      </c>
      <c r="H131" s="15"/>
      <c r="I131" s="3"/>
    </row>
    <row r="132" spans="2:9" x14ac:dyDescent="0.25">
      <c r="B132" s="3"/>
      <c r="C132" s="3"/>
      <c r="D132" s="11"/>
      <c r="E132" s="59">
        <v>2.0000000000000009</v>
      </c>
      <c r="F132" s="40">
        <v>0.50000000000000033</v>
      </c>
      <c r="H132" s="15"/>
      <c r="I132" s="3"/>
    </row>
    <row r="133" spans="2:9" x14ac:dyDescent="0.25">
      <c r="D133" s="11"/>
      <c r="E133" s="59">
        <v>2.100000000000001</v>
      </c>
      <c r="F133" s="40">
        <v>0.53504236929307847</v>
      </c>
      <c r="H133" s="15"/>
      <c r="I133" s="3"/>
    </row>
    <row r="134" spans="2:9" x14ac:dyDescent="0.25">
      <c r="D134" s="11"/>
      <c r="E134" s="59">
        <v>2.2000000000000011</v>
      </c>
      <c r="F134" s="40">
        <v>0.57459705449190035</v>
      </c>
      <c r="H134" s="15"/>
      <c r="I134" s="3"/>
    </row>
    <row r="135" spans="2:9" x14ac:dyDescent="0.25">
      <c r="B135" s="3"/>
      <c r="C135" s="3"/>
      <c r="D135" s="11"/>
      <c r="E135" s="59">
        <v>2.3000000000000012</v>
      </c>
      <c r="F135" s="40">
        <v>0.61655173969072219</v>
      </c>
      <c r="H135" s="15"/>
      <c r="I135" s="3"/>
    </row>
    <row r="136" spans="2:9" x14ac:dyDescent="0.25">
      <c r="B136" s="3"/>
      <c r="C136" s="3"/>
      <c r="D136" s="11"/>
      <c r="E136" s="59">
        <v>2.4000000000000012</v>
      </c>
      <c r="F136" s="40">
        <v>0.65879410898380031</v>
      </c>
      <c r="H136" s="15"/>
      <c r="I136" s="3"/>
    </row>
    <row r="137" spans="2:9" x14ac:dyDescent="0.25">
      <c r="B137" s="3"/>
      <c r="C137" s="3"/>
      <c r="D137" s="11"/>
      <c r="E137" s="59">
        <v>2.5000000000000013</v>
      </c>
      <c r="F137" s="40">
        <v>0.69921184646539081</v>
      </c>
      <c r="H137" s="15"/>
      <c r="I137" s="3"/>
    </row>
    <row r="138" spans="2:9" x14ac:dyDescent="0.25">
      <c r="B138" s="3"/>
      <c r="C138" s="3"/>
      <c r="D138" s="11"/>
      <c r="E138" s="59">
        <v>2.6000000000000014</v>
      </c>
      <c r="F138" s="40">
        <v>0.73569263622975012</v>
      </c>
      <c r="H138" s="15"/>
      <c r="I138" s="3"/>
    </row>
    <row r="139" spans="2:9" x14ac:dyDescent="0.25">
      <c r="B139" s="3"/>
      <c r="C139" s="3"/>
      <c r="D139" s="11"/>
      <c r="E139" s="59">
        <v>2.7000000000000015</v>
      </c>
      <c r="F139" s="40">
        <v>0.76612416237113445</v>
      </c>
      <c r="H139" s="15"/>
      <c r="I139" s="3"/>
    </row>
    <row r="140" spans="2:9" x14ac:dyDescent="0.25">
      <c r="B140" s="3"/>
      <c r="C140" s="3"/>
      <c r="D140" s="11"/>
      <c r="E140" s="59">
        <v>2.8000000000000016</v>
      </c>
      <c r="F140" s="40">
        <v>0.78839410898380002</v>
      </c>
      <c r="H140" s="15"/>
      <c r="I140" s="3"/>
    </row>
    <row r="141" spans="2:9" x14ac:dyDescent="0.25">
      <c r="B141" s="3"/>
      <c r="C141" s="3"/>
      <c r="D141" s="11"/>
      <c r="E141" s="59">
        <v>2.9000000000000017</v>
      </c>
      <c r="F141" s="40">
        <v>0.80039016016200304</v>
      </c>
      <c r="H141" s="15"/>
      <c r="I141" s="3"/>
    </row>
    <row r="142" spans="2:9" x14ac:dyDescent="0.25">
      <c r="B142" s="3"/>
      <c r="C142" s="3"/>
      <c r="D142" s="11"/>
      <c r="E142" s="59">
        <v>3.0000000000000018</v>
      </c>
      <c r="F142" s="40">
        <v>0.79999999999999993</v>
      </c>
      <c r="H142" s="15"/>
      <c r="I142" s="3"/>
    </row>
    <row r="143" spans="2:9" x14ac:dyDescent="0.25">
      <c r="B143" s="3"/>
      <c r="C143" s="3"/>
      <c r="D143" s="11"/>
      <c r="E143" s="59">
        <v>3.1000000000000019</v>
      </c>
      <c r="F143" s="40">
        <v>0.78586116531664174</v>
      </c>
      <c r="H143" s="15"/>
      <c r="I143" s="3"/>
    </row>
    <row r="144" spans="2:9" x14ac:dyDescent="0.25">
      <c r="B144" s="3"/>
      <c r="C144" s="3"/>
      <c r="D144" s="11"/>
      <c r="E144" s="59">
        <v>3.200000000000002</v>
      </c>
      <c r="F144" s="40">
        <v>0.7596106038291599</v>
      </c>
      <c r="H144" s="15"/>
      <c r="I144" s="3"/>
    </row>
    <row r="145" spans="4:9" x14ac:dyDescent="0.25">
      <c r="D145" s="11"/>
      <c r="E145" s="59">
        <v>3.300000000000002</v>
      </c>
      <c r="F145" s="40">
        <v>0.72363511597938068</v>
      </c>
      <c r="H145" s="15"/>
      <c r="I145" s="3"/>
    </row>
    <row r="146" spans="4:9" x14ac:dyDescent="0.25">
      <c r="D146" s="11"/>
      <c r="E146" s="59">
        <v>3.4000000000000021</v>
      </c>
      <c r="F146" s="40">
        <v>0.68032150220913012</v>
      </c>
      <c r="H146" s="15"/>
      <c r="I146" s="3"/>
    </row>
    <row r="147" spans="4:9" x14ac:dyDescent="0.25">
      <c r="D147" s="11"/>
      <c r="E147" s="59">
        <v>3.5000000000000022</v>
      </c>
      <c r="F147" s="40">
        <v>0.6320565629602346</v>
      </c>
      <c r="H147" s="15"/>
      <c r="I147" s="3"/>
    </row>
    <row r="148" spans="4:9" x14ac:dyDescent="0.25">
      <c r="D148" s="11"/>
      <c r="E148" s="59">
        <v>3.6000000000000023</v>
      </c>
      <c r="F148" s="40">
        <v>0.58122709867452027</v>
      </c>
      <c r="H148" s="15"/>
      <c r="I148" s="3"/>
    </row>
    <row r="149" spans="4:9" x14ac:dyDescent="0.25">
      <c r="E149" s="59">
        <v>3.7000000000000024</v>
      </c>
      <c r="F149" s="40">
        <v>0.53021990979381317</v>
      </c>
      <c r="H149" s="15"/>
      <c r="I149" s="3"/>
    </row>
    <row r="150" spans="4:9" x14ac:dyDescent="0.25">
      <c r="E150" s="59">
        <v>3.8000000000000025</v>
      </c>
      <c r="F150" s="40">
        <v>0.48142179675993996</v>
      </c>
      <c r="H150" s="15"/>
      <c r="I150" s="3"/>
    </row>
    <row r="151" spans="4:9" x14ac:dyDescent="0.25">
      <c r="E151" s="59">
        <v>3.9000000000000026</v>
      </c>
      <c r="F151" s="40">
        <v>0.4372195600147265</v>
      </c>
      <c r="H151" s="15"/>
      <c r="I151" s="3"/>
    </row>
    <row r="152" spans="4:9" x14ac:dyDescent="0.25">
      <c r="E152" s="59">
        <v>4.0000000000000027</v>
      </c>
      <c r="F152" s="40">
        <v>0.39999999999999913</v>
      </c>
      <c r="H152" s="15"/>
      <c r="I152" s="3"/>
    </row>
    <row r="153" spans="4:9" x14ac:dyDescent="0.25">
      <c r="E153" s="59">
        <v>4.1000000000000023</v>
      </c>
      <c r="F153" s="40">
        <v>0.37151296944035295</v>
      </c>
      <c r="H153" s="15"/>
      <c r="I153" s="3"/>
    </row>
    <row r="154" spans="4:9" x14ac:dyDescent="0.25">
      <c r="E154" s="59">
        <v>4.200000000000002</v>
      </c>
      <c r="F154" s="40">
        <v>0.35096053019145773</v>
      </c>
      <c r="H154" s="15"/>
      <c r="I154" s="3"/>
    </row>
    <row r="155" spans="4:9" x14ac:dyDescent="0.25">
      <c r="E155" s="59">
        <v>4.3000000000000016</v>
      </c>
      <c r="F155" s="40">
        <v>0.33690779639175239</v>
      </c>
      <c r="H155" s="15"/>
      <c r="I155" s="3"/>
    </row>
    <row r="156" spans="4:9" x14ac:dyDescent="0.25">
      <c r="E156" s="59">
        <v>4.4000000000000012</v>
      </c>
      <c r="F156" s="40">
        <v>0.32791988217967588</v>
      </c>
      <c r="H156" s="15"/>
      <c r="I156" s="3"/>
    </row>
    <row r="157" spans="4:9" x14ac:dyDescent="0.25">
      <c r="E157" s="59">
        <v>4.5000000000000009</v>
      </c>
      <c r="F157" s="40">
        <v>0.32256190169366711</v>
      </c>
      <c r="H157" s="15"/>
      <c r="I157" s="3"/>
    </row>
    <row r="158" spans="4:9" x14ac:dyDescent="0.25">
      <c r="E158" s="59">
        <v>4.6000000000000005</v>
      </c>
      <c r="F158" s="40">
        <v>0.31939896907216492</v>
      </c>
      <c r="H158" s="15"/>
      <c r="I158" s="3"/>
    </row>
    <row r="159" spans="4:9" x14ac:dyDescent="0.25">
      <c r="E159" s="59">
        <v>4.7</v>
      </c>
      <c r="F159" s="40">
        <v>0.31699619845360827</v>
      </c>
      <c r="H159" s="15"/>
      <c r="I159" s="3"/>
    </row>
    <row r="160" spans="4:9" x14ac:dyDescent="0.25">
      <c r="E160" s="59">
        <v>4.8</v>
      </c>
      <c r="F160" s="40">
        <v>0.3139187039764359</v>
      </c>
      <c r="H160" s="15"/>
      <c r="I160" s="3"/>
    </row>
    <row r="161" spans="5:9" x14ac:dyDescent="0.25">
      <c r="E161" s="59">
        <v>4.8999999999999995</v>
      </c>
      <c r="F161" s="40">
        <v>0.30873159977908687</v>
      </c>
      <c r="H161" s="15"/>
      <c r="I161" s="3"/>
    </row>
    <row r="162" spans="5:9" x14ac:dyDescent="0.25">
      <c r="E162" s="59">
        <v>4.9999999999999991</v>
      </c>
      <c r="F162" s="40">
        <v>0.30000000000000004</v>
      </c>
      <c r="H162" s="15"/>
      <c r="I162" s="3"/>
    </row>
    <row r="163" spans="5:9" x14ac:dyDescent="0.25">
      <c r="E163" s="59">
        <v>5.0999999999999988</v>
      </c>
      <c r="F163" s="40">
        <v>0.28668695692194424</v>
      </c>
      <c r="H163" s="15"/>
      <c r="I163" s="3"/>
    </row>
    <row r="164" spans="5:9" x14ac:dyDescent="0.25">
      <c r="E164" s="59">
        <v>5.1999999999999984</v>
      </c>
      <c r="F164" s="40">
        <v>0.26934727540500764</v>
      </c>
      <c r="H164" s="15"/>
      <c r="I164" s="3"/>
    </row>
    <row r="165" spans="5:9" x14ac:dyDescent="0.25">
      <c r="E165" s="59">
        <v>5.299999999999998</v>
      </c>
      <c r="F165" s="40">
        <v>0.24893369845360866</v>
      </c>
      <c r="H165" s="15"/>
      <c r="I165" s="3"/>
    </row>
    <row r="166" spans="5:9" x14ac:dyDescent="0.25">
      <c r="E166" s="59">
        <v>5.3999999999999977</v>
      </c>
      <c r="F166" s="40">
        <v>0.22639896907216547</v>
      </c>
      <c r="H166" s="15"/>
      <c r="I166" s="3"/>
    </row>
    <row r="167" spans="5:9" x14ac:dyDescent="0.25">
      <c r="E167" s="59">
        <v>5.4999999999999973</v>
      </c>
      <c r="F167" s="40">
        <v>0.20269583026509636</v>
      </c>
      <c r="H167" s="15"/>
      <c r="I167" s="3"/>
    </row>
    <row r="168" spans="5:9" x14ac:dyDescent="0.25">
      <c r="E168" s="59">
        <v>5.599999999999997</v>
      </c>
      <c r="F168" s="40">
        <v>0.17877702503681955</v>
      </c>
      <c r="H168" s="15"/>
      <c r="I168" s="3"/>
    </row>
    <row r="169" spans="5:9" x14ac:dyDescent="0.25">
      <c r="E169" s="59">
        <v>5.6999999999999966</v>
      </c>
      <c r="F169" s="40">
        <v>0.15559529639175332</v>
      </c>
      <c r="H169" s="15"/>
      <c r="I169" s="3"/>
    </row>
    <row r="170" spans="5:9" x14ac:dyDescent="0.25">
      <c r="E170" s="59">
        <v>5.7999999999999963</v>
      </c>
      <c r="F170" s="40">
        <v>0.13410338733431593</v>
      </c>
      <c r="H170" s="15"/>
      <c r="I170" s="3"/>
    </row>
    <row r="171" spans="5:9" x14ac:dyDescent="0.25">
      <c r="E171" s="59">
        <v>5.8999999999999959</v>
      </c>
      <c r="F171" s="40">
        <v>0.1152540408689256</v>
      </c>
      <c r="H171" s="15"/>
      <c r="I171" s="3"/>
    </row>
    <row r="172" spans="5:9" x14ac:dyDescent="0.25">
      <c r="E172" s="59">
        <v>5.9999999999999956</v>
      </c>
      <c r="F172" s="40">
        <v>0.10000000000000059</v>
      </c>
      <c r="H172" s="15"/>
      <c r="I172" s="3"/>
    </row>
    <row r="173" spans="5:9" x14ac:dyDescent="0.25">
      <c r="E173" s="59">
        <v>6.0999999999999952</v>
      </c>
      <c r="F173" s="40">
        <v>8.9139202871870826E-2</v>
      </c>
      <c r="H173" s="15"/>
      <c r="I173" s="3"/>
    </row>
    <row r="174" spans="5:9" x14ac:dyDescent="0.25">
      <c r="E174" s="59">
        <v>6.1999999999999948</v>
      </c>
      <c r="F174" s="40">
        <v>8.2850368188512741E-2</v>
      </c>
      <c r="H174" s="15"/>
      <c r="I174" s="3"/>
    </row>
    <row r="175" spans="5:9" x14ac:dyDescent="0.25">
      <c r="E175" s="59">
        <v>6.2999999999999945</v>
      </c>
      <c r="F175" s="40">
        <v>8.1157409793814417E-2</v>
      </c>
      <c r="H175" s="15"/>
      <c r="I175" s="3"/>
    </row>
    <row r="176" spans="5:9" x14ac:dyDescent="0.25">
      <c r="E176" s="59">
        <v>6.3999999999999941</v>
      </c>
      <c r="F176" s="40">
        <v>8.4084241531663925E-2</v>
      </c>
      <c r="H176" s="15"/>
      <c r="I176" s="3"/>
    </row>
    <row r="177" spans="5:9" x14ac:dyDescent="0.25">
      <c r="E177" s="59">
        <v>6.4999999999999938</v>
      </c>
      <c r="F177" s="40">
        <v>9.1654777245949337E-2</v>
      </c>
      <c r="H177" s="15"/>
      <c r="I177" s="3"/>
    </row>
    <row r="178" spans="5:9" x14ac:dyDescent="0.25">
      <c r="E178" s="59">
        <v>6.5999999999999934</v>
      </c>
      <c r="F178" s="40">
        <v>0.10389293078055871</v>
      </c>
      <c r="H178" s="15"/>
      <c r="I178" s="3"/>
    </row>
    <row r="179" spans="5:9" x14ac:dyDescent="0.25">
      <c r="E179" s="59">
        <v>6.6999999999999931</v>
      </c>
      <c r="F179" s="40">
        <v>0.12082261597938013</v>
      </c>
      <c r="H179" s="15"/>
      <c r="I179" s="3"/>
    </row>
    <row r="180" spans="5:9" x14ac:dyDescent="0.25">
      <c r="E180" s="59">
        <v>6.7999999999999927</v>
      </c>
      <c r="F180" s="40">
        <v>0.14246774668630163</v>
      </c>
      <c r="H180" s="15"/>
      <c r="I180" s="3"/>
    </row>
    <row r="181" spans="5:9" x14ac:dyDescent="0.25">
      <c r="E181" s="59">
        <v>6.8999999999999924</v>
      </c>
      <c r="F181" s="40">
        <v>0.16885223674521135</v>
      </c>
      <c r="H181" s="15"/>
      <c r="I181" s="3"/>
    </row>
    <row r="182" spans="5:9" x14ac:dyDescent="0.25">
      <c r="E182" s="59">
        <v>6.999999999999992</v>
      </c>
      <c r="F182" s="40">
        <v>0.19999999999999735</v>
      </c>
      <c r="H182" s="15"/>
      <c r="I182" s="3"/>
    </row>
    <row r="183" spans="5:9" x14ac:dyDescent="0.25">
      <c r="E183" s="59">
        <v>7.0999999999999917</v>
      </c>
      <c r="F183" s="40">
        <v>0.23575623159057124</v>
      </c>
      <c r="H183" s="15"/>
      <c r="I183" s="3"/>
    </row>
    <row r="184" spans="5:9" x14ac:dyDescent="0.25">
      <c r="E184" s="59">
        <v>7.1999999999999913</v>
      </c>
      <c r="F184" s="40">
        <v>0.27525125184093902</v>
      </c>
      <c r="H184" s="15"/>
      <c r="I184" s="3"/>
    </row>
    <row r="185" spans="5:9" x14ac:dyDescent="0.25">
      <c r="E185" s="59">
        <v>7.2999999999999909</v>
      </c>
      <c r="F185" s="40">
        <v>0.31743666237113011</v>
      </c>
      <c r="H185" s="15"/>
      <c r="I185" s="3"/>
    </row>
    <row r="186" spans="5:9" x14ac:dyDescent="0.25">
      <c r="E186" s="59">
        <v>7.3999999999999906</v>
      </c>
      <c r="F186" s="40">
        <v>0.36126406480117401</v>
      </c>
      <c r="H186" s="15"/>
      <c r="I186" s="3"/>
    </row>
    <row r="187" spans="5:9" x14ac:dyDescent="0.25">
      <c r="E187" s="59">
        <v>7.4999999999999902</v>
      </c>
      <c r="F187" s="40">
        <v>0.40568506075110022</v>
      </c>
      <c r="H187" s="15"/>
      <c r="I187" s="3"/>
    </row>
    <row r="188" spans="5:9" x14ac:dyDescent="0.25">
      <c r="E188" s="59">
        <v>7.5999999999999899</v>
      </c>
      <c r="F188" s="40">
        <v>0.44965125184093813</v>
      </c>
      <c r="H188" s="15"/>
      <c r="I188" s="3"/>
    </row>
    <row r="189" spans="5:9" x14ac:dyDescent="0.25">
      <c r="E189" s="59">
        <v>7.6999999999999895</v>
      </c>
      <c r="F189" s="40">
        <v>0.49211423969071733</v>
      </c>
      <c r="H189" s="15"/>
      <c r="I189" s="3"/>
    </row>
    <row r="190" spans="5:9" x14ac:dyDescent="0.25">
      <c r="E190" s="59">
        <v>7.7999999999999892</v>
      </c>
      <c r="F190" s="40">
        <v>0.53202562592046709</v>
      </c>
      <c r="H190" s="15"/>
      <c r="I190" s="3"/>
    </row>
    <row r="191" spans="5:9" x14ac:dyDescent="0.25">
      <c r="E191" s="59">
        <v>7.8999999999999888</v>
      </c>
      <c r="F191" s="40">
        <v>0.56833701215021704</v>
      </c>
      <c r="H191" s="15"/>
      <c r="I191" s="3"/>
    </row>
    <row r="192" spans="5:9" x14ac:dyDescent="0.25">
      <c r="E192" s="59">
        <v>7.9999999999999885</v>
      </c>
      <c r="F192" s="40">
        <v>0.59999999999999654</v>
      </c>
      <c r="H192" s="15"/>
      <c r="I192" s="3"/>
    </row>
    <row r="193" spans="5:9" x14ac:dyDescent="0.25">
      <c r="E193" s="59">
        <v>8.099999999999989</v>
      </c>
      <c r="F193" s="40">
        <v>0.62623587076582954</v>
      </c>
      <c r="H193" s="15"/>
      <c r="I193" s="3"/>
    </row>
    <row r="194" spans="5:9" x14ac:dyDescent="0.25">
      <c r="E194" s="59">
        <v>8.1999999999999886</v>
      </c>
      <c r="F194" s="40">
        <v>0.64734462444771512</v>
      </c>
      <c r="H194" s="15"/>
      <c r="I194" s="3"/>
    </row>
    <row r="195" spans="5:9" x14ac:dyDescent="0.25">
      <c r="E195" s="59">
        <v>8.2999999999999883</v>
      </c>
      <c r="F195" s="40">
        <v>0.66389594072164781</v>
      </c>
      <c r="H195" s="15"/>
      <c r="I195" s="3"/>
    </row>
    <row r="196" spans="5:9" x14ac:dyDescent="0.25">
      <c r="E196" s="59">
        <v>8.3999999999999879</v>
      </c>
      <c r="F196" s="40">
        <v>0.6764594992636217</v>
      </c>
      <c r="H196" s="15"/>
      <c r="I196" s="3"/>
    </row>
    <row r="197" spans="5:9" x14ac:dyDescent="0.25">
      <c r="E197" s="59">
        <v>8.4999999999999876</v>
      </c>
      <c r="F197" s="40">
        <v>0.68560497974963086</v>
      </c>
      <c r="H197" s="15"/>
      <c r="I197" s="3"/>
    </row>
    <row r="198" spans="5:9" x14ac:dyDescent="0.25">
      <c r="E198" s="59">
        <v>8.5999999999999872</v>
      </c>
      <c r="F198" s="40">
        <v>0.69190206185566938</v>
      </c>
      <c r="H198" s="15"/>
      <c r="I198" s="3"/>
    </row>
    <row r="199" spans="5:9" x14ac:dyDescent="0.25">
      <c r="E199" s="59">
        <v>8.6999999999999869</v>
      </c>
      <c r="F199" s="40">
        <v>0.69592042525773157</v>
      </c>
      <c r="H199" s="15"/>
      <c r="I199" s="3"/>
    </row>
    <row r="200" spans="5:9" x14ac:dyDescent="0.25">
      <c r="E200" s="59">
        <v>8.7999999999999865</v>
      </c>
      <c r="F200" s="40">
        <v>0.69822974963181128</v>
      </c>
      <c r="H200" s="15"/>
      <c r="I200" s="3"/>
    </row>
    <row r="201" spans="5:9" x14ac:dyDescent="0.25">
      <c r="E201" s="33">
        <v>8.8999999999999861</v>
      </c>
      <c r="F201" s="43">
        <v>0.6993997146539026</v>
      </c>
      <c r="H201" s="15"/>
      <c r="I201" s="3"/>
    </row>
    <row r="202" spans="5:9" x14ac:dyDescent="0.25">
      <c r="H202" s="15"/>
      <c r="I202" s="3"/>
    </row>
    <row r="203" spans="5:9" x14ac:dyDescent="0.25">
      <c r="H203" s="15"/>
      <c r="I203" s="3"/>
    </row>
    <row r="204" spans="5:9" x14ac:dyDescent="0.25">
      <c r="H204" s="15"/>
      <c r="I204" s="3"/>
    </row>
    <row r="205" spans="5:9" x14ac:dyDescent="0.25">
      <c r="H205" s="15"/>
      <c r="I205" s="3"/>
    </row>
    <row r="206" spans="5:9" x14ac:dyDescent="0.25">
      <c r="H206" s="15"/>
      <c r="I206" s="3"/>
    </row>
    <row r="207" spans="5:9" x14ac:dyDescent="0.25">
      <c r="H207" s="15"/>
      <c r="I207" s="3"/>
    </row>
    <row r="208" spans="5:9" x14ac:dyDescent="0.25">
      <c r="H208" s="15"/>
      <c r="I208" s="3"/>
    </row>
    <row r="209" spans="8:9" x14ac:dyDescent="0.25">
      <c r="H209" s="15"/>
      <c r="I209" s="3"/>
    </row>
    <row r="210" spans="8:9" x14ac:dyDescent="0.25">
      <c r="H210" s="15"/>
      <c r="I210" s="3"/>
    </row>
    <row r="211" spans="8:9" x14ac:dyDescent="0.25">
      <c r="H211" s="15"/>
      <c r="I211" s="3"/>
    </row>
    <row r="212" spans="8:9" x14ac:dyDescent="0.25">
      <c r="H212" s="15"/>
      <c r="I212" s="3"/>
    </row>
    <row r="213" spans="8:9" x14ac:dyDescent="0.25">
      <c r="H213" s="15"/>
      <c r="I213" s="3"/>
    </row>
    <row r="214" spans="8:9" x14ac:dyDescent="0.25">
      <c r="H214" s="15"/>
      <c r="I214" s="3"/>
    </row>
    <row r="215" spans="8:9" x14ac:dyDescent="0.25">
      <c r="H215" s="15"/>
      <c r="I215" s="3"/>
    </row>
    <row r="216" spans="8:9" x14ac:dyDescent="0.25">
      <c r="H216" s="15"/>
      <c r="I216" s="3"/>
    </row>
    <row r="217" spans="8:9" x14ac:dyDescent="0.25">
      <c r="H217" s="15"/>
      <c r="I217" s="3"/>
    </row>
    <row r="218" spans="8:9" x14ac:dyDescent="0.25">
      <c r="H218" s="15"/>
      <c r="I218" s="3"/>
    </row>
    <row r="219" spans="8:9" x14ac:dyDescent="0.25">
      <c r="H219" s="15"/>
      <c r="I219" s="3"/>
    </row>
    <row r="220" spans="8:9" x14ac:dyDescent="0.25">
      <c r="H220" s="15"/>
      <c r="I220" s="3"/>
    </row>
    <row r="221" spans="8:9" x14ac:dyDescent="0.25">
      <c r="H221" s="15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zoomScale="85" zoomScaleNormal="85" workbookViewId="0">
      <selection activeCell="E35" sqref="E35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3" t="s">
        <v>122</v>
      </c>
      <c r="V3"/>
    </row>
    <row r="4" spans="2:31" x14ac:dyDescent="0.25">
      <c r="L4" s="13" t="s">
        <v>147</v>
      </c>
    </row>
    <row r="5" spans="2:31" x14ac:dyDescent="0.25">
      <c r="B5" s="30" t="s">
        <v>124</v>
      </c>
      <c r="C5" s="32" t="s">
        <v>123</v>
      </c>
      <c r="E5" s="30" t="s">
        <v>125</v>
      </c>
      <c r="F5" s="32" t="s">
        <v>123</v>
      </c>
      <c r="H5" s="30" t="s">
        <v>127</v>
      </c>
      <c r="I5" s="37"/>
      <c r="L5" s="27" t="s">
        <v>113</v>
      </c>
      <c r="M5" s="22">
        <v>-2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3"/>
    </row>
    <row r="6" spans="2:31" x14ac:dyDescent="0.25">
      <c r="B6" s="28" cm="1">
        <f t="array" ref="B6:B18">_xlfn.SEQUENCE(13,,-2)</f>
        <v>-2</v>
      </c>
      <c r="C6" s="24" cm="1">
        <f t="array" ref="C6:C18">_xlfn.ANCHORARRAY(B6)^3+10</f>
        <v>2</v>
      </c>
      <c r="E6" s="59" cm="1">
        <f t="array" ref="E6:E17">_xlfn.DROP(_xlfn.ANCHORARRAY(B6),1)+(_xlfn.DROP(_xlfn.ANCHORARRAY(B6),-1)-_xlfn.DROP(_xlfn.ANCHORARRAY(B6),1))/2</f>
        <v>-1.5</v>
      </c>
      <c r="F6" s="60" cm="1">
        <f t="array" ref="F6:F17">_xlfn.ANCHORARRAY(E6)^3+10</f>
        <v>6.625</v>
      </c>
      <c r="H6" s="19" t="s">
        <v>126</v>
      </c>
      <c r="I6" s="61" cm="1">
        <f t="array" ref="I6">SUM((_xlfn.DROP(_xlfn.ANCHORARRAY(B6),1)-_xlfn.DROP(_xlfn.ANCHORARRAY(B6),-1))*_xlfn.DROP(_xlfn.ANCHORARRAY(C6),-1))</f>
        <v>2136</v>
      </c>
      <c r="L6" s="28" t="s">
        <v>77</v>
      </c>
      <c r="M6">
        <v>10</v>
      </c>
      <c r="V6"/>
      <c r="AC6" s="24"/>
    </row>
    <row r="7" spans="2:31" x14ac:dyDescent="0.25">
      <c r="B7" s="28">
        <v>-1</v>
      </c>
      <c r="C7" s="24">
        <v>9</v>
      </c>
      <c r="E7" s="59">
        <v>-0.5</v>
      </c>
      <c r="F7" s="60">
        <v>9.875</v>
      </c>
      <c r="H7" s="20" t="s">
        <v>128</v>
      </c>
      <c r="I7" s="62" cm="1">
        <f t="array" ref="I7">SUM((_xlfn.DROP(_xlfn.ANCHORARRAY(B6),1)-_xlfn.DROP(_xlfn.ANCHORARRAY(B6),-1))*_xlfn.DROP(_xlfn.ANCHORARRAY(C6),1))</f>
        <v>3144</v>
      </c>
      <c r="L7" s="28" t="s">
        <v>135</v>
      </c>
      <c r="M7">
        <v>4</v>
      </c>
      <c r="V7"/>
      <c r="AC7" s="24"/>
      <c r="AE7" s="3"/>
    </row>
    <row r="8" spans="2:31" x14ac:dyDescent="0.25">
      <c r="B8" s="28">
        <v>0</v>
      </c>
      <c r="C8" s="24">
        <v>10</v>
      </c>
      <c r="E8" s="59">
        <v>0.5</v>
      </c>
      <c r="F8" s="60">
        <v>10.125</v>
      </c>
      <c r="H8" s="20" t="s">
        <v>129</v>
      </c>
      <c r="I8" s="62" cm="1">
        <f t="array" ref="I8">SUM((_xlfn.DROP(_xlfn.ANCHORARRAY(B6),1)-_xlfn.DROP(_xlfn.ANCHORARRAY(B6),-1))*_xlfn.ANCHORARRAY(F6))</f>
        <v>2604</v>
      </c>
      <c r="L8" s="28" t="s">
        <v>139</v>
      </c>
      <c r="M8">
        <v>2</v>
      </c>
      <c r="R8" t="s">
        <v>139</v>
      </c>
      <c r="S8">
        <v>3</v>
      </c>
      <c r="V8"/>
      <c r="X8" t="s">
        <v>139</v>
      </c>
      <c r="Y8">
        <v>4</v>
      </c>
      <c r="AC8" s="24"/>
    </row>
    <row r="9" spans="2:31" x14ac:dyDescent="0.25">
      <c r="B9" s="28">
        <v>1</v>
      </c>
      <c r="C9" s="24">
        <v>11</v>
      </c>
      <c r="E9" s="59">
        <v>1.5</v>
      </c>
      <c r="F9" s="60">
        <v>13.375</v>
      </c>
      <c r="H9" s="20" t="s">
        <v>130</v>
      </c>
      <c r="I9" s="62" cm="1">
        <f t="array" ref="I9">SUM((_xlfn.DROP(_xlfn.ANCHORARRAY(C6),1)+_xlfn.DROP(_xlfn.ANCHORARRAY(C6),-1))*(_xlfn.DROP(_xlfn.ANCHORARRAY(B6),1)-_xlfn.DROP(_xlfn.ANCHORARRAY(B6),-1))/2)</f>
        <v>2640</v>
      </c>
      <c r="L9" s="28" t="s">
        <v>136</v>
      </c>
      <c r="M9" s="3">
        <f>($M$6-$M$5)/($M$7)/M8</f>
        <v>1.5</v>
      </c>
      <c r="P9" s="3">
        <f>SUM(_xlfn.ANCHORARRAY(P10))</f>
        <v>2616</v>
      </c>
      <c r="R9" t="s">
        <v>136</v>
      </c>
      <c r="S9" s="3">
        <f>($M$6-$M$5)/($M$7)/S8</f>
        <v>1</v>
      </c>
      <c r="V9" s="3">
        <f>SUM(_xlfn.ANCHORARRAY(V10))</f>
        <v>2616</v>
      </c>
      <c r="X9" t="s">
        <v>136</v>
      </c>
      <c r="Y9" s="3">
        <f>($M$6-$M$5)/($M$7)/Y8</f>
        <v>0.75</v>
      </c>
      <c r="AB9" s="3">
        <f>SUM(_xlfn.ANCHORARRAY(AB10))</f>
        <v>2616</v>
      </c>
      <c r="AC9" s="24"/>
    </row>
    <row r="10" spans="2:31" x14ac:dyDescent="0.25">
      <c r="B10" s="28">
        <v>2</v>
      </c>
      <c r="C10" s="24">
        <v>18</v>
      </c>
      <c r="E10" s="59">
        <v>2.5</v>
      </c>
      <c r="F10" s="60">
        <v>25.625</v>
      </c>
      <c r="H10" s="20" t="s">
        <v>131</v>
      </c>
      <c r="I10" s="62" cm="1">
        <f t="array" ref="I10">BRISTO.INT_SIMPSON(_xlfn.LAMBDA(_xlpm.x,_xlpm.x^3+10),-2,10,13)</f>
        <v>2616.0000000000014</v>
      </c>
      <c r="L10" s="28" t="s">
        <v>66</v>
      </c>
      <c r="M10" s="3" cm="1">
        <f t="array" ref="M10:M18">BRISTO.RANGE($M$5,$M$6,$M$7*M8+1)</f>
        <v>-2</v>
      </c>
      <c r="N10" s="3" cm="1">
        <f t="array" ref="N10:N18">_xlfn.LAMBDA(_xlpm.x,_xlpm.x^3+10)(_xlfn.ANCHORARRAY(M10))</f>
        <v>2</v>
      </c>
      <c r="O10" cm="1">
        <f t="array" ref="O10:O13">_xlfn.SEQUENCE($M$7,,1,M8)</f>
        <v>1</v>
      </c>
      <c r="P10" cm="1">
        <f t="array" ref="P10:P13">_xlfn.MAP(_xlfn.ANCHORARRAY(O10),_xlfn.LAMBDA(_xlpm.i,M9/3*(INDEX(_xlfn.ANCHORARRAY(N10),_xlpm.i)+4*INDEX(_xlfn.ANCHORARRAY(N10),_xlpm.i+1)+INDEX(_xlfn.ANCHORARRAY(N10),_xlpm.i+2))))</f>
        <v>26.25</v>
      </c>
      <c r="R10" t="s">
        <v>66</v>
      </c>
      <c r="S10" s="3" cm="1">
        <f t="array" ref="S10:S22">BRISTO.RANGE($M$5,$M$6,$M$7*S8+1)</f>
        <v>-2</v>
      </c>
      <c r="T10" s="3" cm="1">
        <f t="array" ref="T10:T22">_xlfn.LAMBDA(_xlpm.x,_xlpm.x^3+10)(_xlfn.ANCHORARRAY(S10))</f>
        <v>2</v>
      </c>
      <c r="U10" cm="1">
        <f t="array" ref="U10:U13">_xlfn.SEQUENCE($M$7,,1,S8)</f>
        <v>1</v>
      </c>
      <c r="V10" s="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X10" t="s">
        <v>66</v>
      </c>
      <c r="Y10" s="3" cm="1">
        <f t="array" ref="Y10:Y26">BRISTO.RANGE($M$5,$M$6,$M$7*Y8+1)</f>
        <v>-2</v>
      </c>
      <c r="Z10" s="3" cm="1">
        <f t="array" ref="Z10:Z26">_xlfn.LAMBDA(_xlpm.x,_xlpm.x^3+10)(_xlfn.ANCHORARRAY(Y10))</f>
        <v>2</v>
      </c>
      <c r="AA10" cm="1">
        <f t="array" ref="AA10:AA13">_xlfn.SEQUENCE($M$7,,1,Y8)</f>
        <v>1</v>
      </c>
      <c r="AB10" s="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4"/>
    </row>
    <row r="11" spans="2:31" x14ac:dyDescent="0.25">
      <c r="B11" s="28">
        <v>3</v>
      </c>
      <c r="C11" s="24">
        <v>37</v>
      </c>
      <c r="E11" s="59">
        <v>3.5</v>
      </c>
      <c r="F11" s="60">
        <v>52.875</v>
      </c>
      <c r="H11" s="20" t="s">
        <v>137</v>
      </c>
      <c r="I11" s="62" cm="1">
        <f t="array" ref="I11">BRISTO.INT_SIMPSON(_xlfn.LAMBDA(_xlpm.x,_xlpm.x^3+10),-2,10,13,TRUE)</f>
        <v>2615.9999999999977</v>
      </c>
      <c r="L11" s="28"/>
      <c r="M11" s="3">
        <v>-0.5</v>
      </c>
      <c r="N11">
        <v>9.875</v>
      </c>
      <c r="O11" s="3">
        <v>3</v>
      </c>
      <c r="P11">
        <v>93.75</v>
      </c>
      <c r="R11" s="3"/>
      <c r="S11" s="3">
        <v>-1</v>
      </c>
      <c r="T11" s="3">
        <v>9</v>
      </c>
      <c r="U11" s="3">
        <v>4</v>
      </c>
      <c r="V11" s="3">
        <v>93.75</v>
      </c>
      <c r="X11" s="3"/>
      <c r="Y11" s="3">
        <v>-1.25</v>
      </c>
      <c r="Z11" s="3">
        <v>8.046875</v>
      </c>
      <c r="AA11" s="3">
        <v>5</v>
      </c>
      <c r="AB11" s="3">
        <v>93.75</v>
      </c>
      <c r="AC11" s="24"/>
    </row>
    <row r="12" spans="2:31" x14ac:dyDescent="0.25">
      <c r="B12" s="28">
        <v>4</v>
      </c>
      <c r="C12" s="24">
        <v>74</v>
      </c>
      <c r="E12" s="59">
        <v>4.5</v>
      </c>
      <c r="F12" s="60">
        <v>101.125</v>
      </c>
      <c r="H12" s="20" t="s">
        <v>140</v>
      </c>
      <c r="I12" s="65" cm="1">
        <f t="array" ref="I12">BRISTO.INT_BOOLE(_xlfn.LAMBDA(_xlpm.x,_xlpm.x^3+10),-2,10,13)</f>
        <v>2615.9999999999995</v>
      </c>
      <c r="L12" s="28"/>
      <c r="M12" s="3">
        <v>1</v>
      </c>
      <c r="N12">
        <v>11</v>
      </c>
      <c r="O12" s="3">
        <v>5</v>
      </c>
      <c r="P12">
        <v>566.25</v>
      </c>
      <c r="R12" s="3"/>
      <c r="S12" s="3">
        <v>0</v>
      </c>
      <c r="T12" s="3">
        <v>10</v>
      </c>
      <c r="U12" s="3">
        <v>7</v>
      </c>
      <c r="V12" s="3">
        <v>566.25</v>
      </c>
      <c r="X12" s="3"/>
      <c r="Y12" s="3">
        <v>-0.5</v>
      </c>
      <c r="Z12" s="3">
        <v>9.875</v>
      </c>
      <c r="AA12" s="3">
        <v>9</v>
      </c>
      <c r="AB12" s="3">
        <v>566.25</v>
      </c>
      <c r="AC12" s="24"/>
    </row>
    <row r="13" spans="2:31" x14ac:dyDescent="0.25">
      <c r="B13" s="28">
        <v>5</v>
      </c>
      <c r="C13" s="24">
        <v>135</v>
      </c>
      <c r="E13" s="59">
        <v>5.5</v>
      </c>
      <c r="F13" s="60">
        <v>176.375</v>
      </c>
      <c r="H13" s="21" t="s">
        <v>141</v>
      </c>
      <c r="I13" s="64" cm="1">
        <f t="array" ref="I13">BRISTO.INTEGRATE(_xlfn.LAMBDA(_xlpm.x,_xlpm.x^3+10),-2,10,3)</f>
        <v>2615.9999999999927</v>
      </c>
      <c r="L13" s="59"/>
      <c r="M13" s="3">
        <v>2.5</v>
      </c>
      <c r="N13">
        <v>25.625</v>
      </c>
      <c r="O13" s="3">
        <v>7</v>
      </c>
      <c r="P13">
        <v>1929.75</v>
      </c>
      <c r="R13" s="3"/>
      <c r="S13" s="3">
        <v>1</v>
      </c>
      <c r="T13" s="3">
        <v>11</v>
      </c>
      <c r="U13" s="3">
        <v>10</v>
      </c>
      <c r="V13" s="3">
        <v>1929.75</v>
      </c>
      <c r="X13" s="3"/>
      <c r="Y13" s="3">
        <v>0.25</v>
      </c>
      <c r="Z13" s="3">
        <v>10.015625</v>
      </c>
      <c r="AA13" s="3">
        <v>13</v>
      </c>
      <c r="AB13" s="3">
        <v>1929.75</v>
      </c>
      <c r="AC13" s="24"/>
    </row>
    <row r="14" spans="2:31" x14ac:dyDescent="0.25">
      <c r="B14" s="28">
        <v>6</v>
      </c>
      <c r="C14" s="24">
        <v>226</v>
      </c>
      <c r="E14" s="59">
        <v>6.5</v>
      </c>
      <c r="F14" s="60">
        <v>284.625</v>
      </c>
      <c r="L14" s="28"/>
      <c r="M14" s="3">
        <v>4</v>
      </c>
      <c r="N14">
        <v>74</v>
      </c>
      <c r="O14" s="3"/>
      <c r="S14" s="3">
        <v>2</v>
      </c>
      <c r="T14" s="3">
        <v>18</v>
      </c>
      <c r="U14" s="3"/>
      <c r="Y14" s="3">
        <v>1</v>
      </c>
      <c r="Z14" s="3">
        <v>11</v>
      </c>
      <c r="AA14" s="3"/>
      <c r="AB14" s="3"/>
      <c r="AC14" s="24"/>
    </row>
    <row r="15" spans="2:31" x14ac:dyDescent="0.25">
      <c r="B15" s="28">
        <v>7</v>
      </c>
      <c r="C15" s="24">
        <v>353</v>
      </c>
      <c r="E15" s="59">
        <v>7.5</v>
      </c>
      <c r="F15" s="60">
        <v>431.875</v>
      </c>
      <c r="H15" s="56" t="s">
        <v>132</v>
      </c>
      <c r="I15" s="63">
        <v>2616</v>
      </c>
      <c r="L15" s="28"/>
      <c r="M15" s="3">
        <v>5.5</v>
      </c>
      <c r="N15">
        <v>176.375</v>
      </c>
      <c r="O15" s="3"/>
      <c r="S15" s="3">
        <v>3</v>
      </c>
      <c r="T15" s="3">
        <v>37</v>
      </c>
      <c r="U15" s="3"/>
      <c r="Y15" s="3">
        <v>1.75</v>
      </c>
      <c r="Z15" s="3">
        <v>15.359375</v>
      </c>
      <c r="AA15" s="3"/>
      <c r="AB15" s="3"/>
      <c r="AC15" s="24"/>
    </row>
    <row r="16" spans="2:31" x14ac:dyDescent="0.25">
      <c r="B16" s="28">
        <v>8</v>
      </c>
      <c r="C16" s="24">
        <v>522</v>
      </c>
      <c r="E16" s="59">
        <v>8.5</v>
      </c>
      <c r="F16" s="60">
        <v>624.125</v>
      </c>
      <c r="L16" s="28"/>
      <c r="M16" s="3">
        <v>7</v>
      </c>
      <c r="N16">
        <v>353</v>
      </c>
      <c r="O16" s="3"/>
      <c r="S16" s="3">
        <v>4</v>
      </c>
      <c r="T16" s="3">
        <v>74</v>
      </c>
      <c r="U16" s="3"/>
      <c r="Y16" s="3">
        <v>2.5</v>
      </c>
      <c r="Z16" s="3">
        <v>25.625</v>
      </c>
      <c r="AA16" s="3"/>
      <c r="AB16" s="3"/>
      <c r="AC16" s="24"/>
    </row>
    <row r="17" spans="2:29" x14ac:dyDescent="0.25">
      <c r="B17" s="28">
        <v>9</v>
      </c>
      <c r="C17" s="24">
        <v>739</v>
      </c>
      <c r="E17" s="33">
        <v>9.5</v>
      </c>
      <c r="F17" s="35">
        <v>867.375</v>
      </c>
      <c r="L17" s="28"/>
      <c r="M17" s="3">
        <v>8.5</v>
      </c>
      <c r="N17">
        <v>624.125</v>
      </c>
      <c r="O17" s="3"/>
      <c r="S17" s="3">
        <v>5</v>
      </c>
      <c r="T17">
        <v>135</v>
      </c>
      <c r="U17" s="3"/>
      <c r="Y17" s="3">
        <v>3.25</v>
      </c>
      <c r="Z17">
        <v>44.328125</v>
      </c>
      <c r="AA17" s="3"/>
      <c r="AB17" s="3"/>
      <c r="AC17" s="24"/>
    </row>
    <row r="18" spans="2:29" x14ac:dyDescent="0.25">
      <c r="B18" s="29">
        <v>10</v>
      </c>
      <c r="C18" s="26">
        <v>1010</v>
      </c>
      <c r="L18" s="28"/>
      <c r="M18" s="3">
        <v>10</v>
      </c>
      <c r="N18">
        <v>1010</v>
      </c>
      <c r="O18" s="3"/>
      <c r="S18" s="3">
        <v>6</v>
      </c>
      <c r="T18">
        <v>226</v>
      </c>
      <c r="U18" s="3"/>
      <c r="Y18" s="3">
        <v>4</v>
      </c>
      <c r="Z18">
        <v>74</v>
      </c>
      <c r="AA18" s="3"/>
      <c r="AB18" s="3"/>
      <c r="AC18" s="24"/>
    </row>
    <row r="19" spans="2:29" x14ac:dyDescent="0.25">
      <c r="L19" s="28"/>
      <c r="O19" s="3"/>
      <c r="S19" s="3">
        <v>7</v>
      </c>
      <c r="T19">
        <v>353</v>
      </c>
      <c r="U19" s="3"/>
      <c r="Y19" s="3">
        <v>4.75</v>
      </c>
      <c r="Z19">
        <v>117.171875</v>
      </c>
      <c r="AA19" s="3"/>
      <c r="AB19" s="3"/>
      <c r="AC19" s="24"/>
    </row>
    <row r="20" spans="2:29" x14ac:dyDescent="0.25">
      <c r="L20" s="28"/>
      <c r="O20" s="3"/>
      <c r="S20" s="3">
        <v>8</v>
      </c>
      <c r="T20">
        <v>522</v>
      </c>
      <c r="U20" s="3"/>
      <c r="Y20" s="3">
        <v>5.5</v>
      </c>
      <c r="Z20">
        <v>176.375</v>
      </c>
      <c r="AA20" s="3"/>
      <c r="AB20" s="3"/>
      <c r="AC20" s="24"/>
    </row>
    <row r="21" spans="2:29" x14ac:dyDescent="0.25">
      <c r="H21" s="3"/>
      <c r="L21" s="28"/>
      <c r="O21" s="3"/>
      <c r="S21" s="3">
        <v>9</v>
      </c>
      <c r="T21">
        <v>739</v>
      </c>
      <c r="U21" s="3"/>
      <c r="Y21" s="3">
        <v>6.25</v>
      </c>
      <c r="Z21">
        <v>254.140625</v>
      </c>
      <c r="AA21" s="3"/>
      <c r="AB21" s="3"/>
      <c r="AC21" s="24"/>
    </row>
    <row r="22" spans="2:29" x14ac:dyDescent="0.25">
      <c r="H22" s="3"/>
      <c r="L22" s="28"/>
      <c r="O22" s="3"/>
      <c r="S22" s="3">
        <v>10</v>
      </c>
      <c r="T22">
        <v>1010</v>
      </c>
      <c r="U22" s="3"/>
      <c r="Y22" s="3">
        <v>7</v>
      </c>
      <c r="Z22">
        <v>353</v>
      </c>
      <c r="AA22" s="3"/>
      <c r="AB22" s="3"/>
      <c r="AC22" s="24"/>
    </row>
    <row r="23" spans="2:29" x14ac:dyDescent="0.25">
      <c r="B23" s="13" t="s">
        <v>142</v>
      </c>
      <c r="H23" s="3"/>
      <c r="L23" s="28"/>
      <c r="V23"/>
      <c r="Y23">
        <v>7.75</v>
      </c>
      <c r="Z23">
        <v>475.484375</v>
      </c>
      <c r="AC23" s="24"/>
    </row>
    <row r="24" spans="2:29" x14ac:dyDescent="0.25">
      <c r="B24" s="19" t="s">
        <v>113</v>
      </c>
      <c r="C24" s="23">
        <v>0</v>
      </c>
      <c r="H24" s="3"/>
      <c r="L24" s="28"/>
      <c r="V24"/>
      <c r="Y24">
        <v>8.5</v>
      </c>
      <c r="Z24">
        <v>624.125</v>
      </c>
      <c r="AC24" s="24"/>
    </row>
    <row r="25" spans="2:29" x14ac:dyDescent="0.25">
      <c r="B25" s="20" t="s">
        <v>145</v>
      </c>
      <c r="C25" s="66" cm="1">
        <f t="array" ref="C25">BRISTO.INFINITY()</f>
        <v>1.0000000000000001E+300</v>
      </c>
      <c r="H25" s="3"/>
      <c r="L25" s="28"/>
      <c r="V25"/>
      <c r="Y25">
        <v>9.25</v>
      </c>
      <c r="Z25">
        <v>801.453125</v>
      </c>
      <c r="AC25" s="24"/>
    </row>
    <row r="26" spans="2:29" x14ac:dyDescent="0.25">
      <c r="B26" s="20" t="s">
        <v>135</v>
      </c>
      <c r="C26" s="24">
        <v>12</v>
      </c>
      <c r="H26" s="3"/>
      <c r="L26" s="28"/>
      <c r="V26"/>
      <c r="Y26">
        <v>10</v>
      </c>
      <c r="Z26">
        <v>1010</v>
      </c>
      <c r="AC26" s="24"/>
    </row>
    <row r="27" spans="2:29" x14ac:dyDescent="0.25">
      <c r="B27" s="21" t="s">
        <v>141</v>
      </c>
      <c r="C27" s="35" cm="1">
        <f t="array" ref="C27">BRISTO.INTEGRATE(_xlfn.LAMBDA(_xlpm.x,1/(_xlpm.x+1)^3),C24,C25,C26)</f>
        <v>0.49999999999998873</v>
      </c>
      <c r="H27" s="3"/>
      <c r="L27" s="28"/>
      <c r="V27"/>
      <c r="AC27" s="24"/>
    </row>
    <row r="28" spans="2:29" x14ac:dyDescent="0.25">
      <c r="H28" s="3"/>
      <c r="K28" s="3"/>
      <c r="L28" s="28"/>
      <c r="V28"/>
      <c r="AC28" s="24"/>
    </row>
    <row r="29" spans="2:29" x14ac:dyDescent="0.25">
      <c r="B29" s="13" t="s">
        <v>146</v>
      </c>
      <c r="H29" s="3"/>
      <c r="L29" s="28"/>
      <c r="V29"/>
      <c r="AC29" s="24"/>
    </row>
    <row r="30" spans="2:29" x14ac:dyDescent="0.25">
      <c r="B30" s="19" t="s">
        <v>113</v>
      </c>
      <c r="C30" s="23" cm="1">
        <f t="array" ref="C30">-BRISTO.INFINITY()</f>
        <v>-1.0000000000000001E+300</v>
      </c>
      <c r="H30" s="3"/>
      <c r="L30" s="28"/>
      <c r="V30"/>
      <c r="AC30" s="24"/>
    </row>
    <row r="31" spans="2:29" x14ac:dyDescent="0.25">
      <c r="B31" s="20" t="s">
        <v>145</v>
      </c>
      <c r="C31" s="66" cm="1">
        <f t="array" ref="C31">BRISTO.INFINITY()</f>
        <v>1.0000000000000001E+300</v>
      </c>
      <c r="H31" s="3"/>
      <c r="L31" s="28"/>
      <c r="AC31" s="24"/>
    </row>
    <row r="32" spans="2:29" x14ac:dyDescent="0.25">
      <c r="B32" s="20" t="s">
        <v>135</v>
      </c>
      <c r="C32" s="24">
        <v>12</v>
      </c>
      <c r="H32" s="3"/>
      <c r="L32" s="28"/>
      <c r="AC32" s="24"/>
    </row>
    <row r="33" spans="2:29" x14ac:dyDescent="0.25">
      <c r="B33" s="21" t="s">
        <v>141</v>
      </c>
      <c r="C33" s="35" cm="1">
        <f t="array" ref="C33">BRISTO.INTEGRATE(_xlfn.LAMBDA(_xlpm.x, 1 / (PI() * (1 + _xlpm.x^2))),C30,C31,C32)</f>
        <v>0.99999980487812257</v>
      </c>
      <c r="H33" s="12"/>
      <c r="L33" s="28"/>
      <c r="AC33" s="24"/>
    </row>
    <row r="34" spans="2:29" x14ac:dyDescent="0.25">
      <c r="H34" s="3"/>
      <c r="L34" s="28"/>
      <c r="AC34" s="24"/>
    </row>
    <row r="35" spans="2:29" x14ac:dyDescent="0.25">
      <c r="H35" s="3"/>
      <c r="L35" s="28"/>
      <c r="AC35" s="24"/>
    </row>
    <row r="36" spans="2:29" x14ac:dyDescent="0.25">
      <c r="H36" s="3"/>
      <c r="L36" s="28"/>
      <c r="AC36" s="24"/>
    </row>
    <row r="37" spans="2:29" x14ac:dyDescent="0.25">
      <c r="H37" s="3"/>
      <c r="L37" s="28"/>
      <c r="AC37" s="24"/>
    </row>
    <row r="38" spans="2:29" x14ac:dyDescent="0.25">
      <c r="H38" s="3"/>
      <c r="L38" s="28"/>
      <c r="AC38" s="24"/>
    </row>
    <row r="39" spans="2:29" x14ac:dyDescent="0.25">
      <c r="H39" s="3"/>
      <c r="L39" s="28"/>
      <c r="AC39" s="24"/>
    </row>
    <row r="40" spans="2:29" x14ac:dyDescent="0.25">
      <c r="H40" s="3"/>
      <c r="L40" s="28"/>
      <c r="AC40" s="24"/>
    </row>
    <row r="41" spans="2:29" x14ac:dyDescent="0.25">
      <c r="H41" s="3"/>
      <c r="L41" s="28"/>
      <c r="AC41" s="24"/>
    </row>
    <row r="42" spans="2:29" x14ac:dyDescent="0.25">
      <c r="H42" s="3"/>
      <c r="L42" s="28"/>
      <c r="AC42" s="24"/>
    </row>
    <row r="43" spans="2:29" x14ac:dyDescent="0.25">
      <c r="H43" s="3"/>
      <c r="L43" s="28"/>
      <c r="AC43" s="24"/>
    </row>
    <row r="44" spans="2:29" x14ac:dyDescent="0.25">
      <c r="H44" s="3"/>
      <c r="L44" s="28"/>
      <c r="AC44" s="24"/>
    </row>
    <row r="45" spans="2:29" x14ac:dyDescent="0.25">
      <c r="H45" s="3"/>
      <c r="L45" s="29"/>
      <c r="M45" s="25"/>
      <c r="N45" s="25"/>
      <c r="O45" s="25"/>
      <c r="P45" s="25"/>
      <c r="Q45" s="25"/>
      <c r="R45" s="25"/>
      <c r="S45" s="25"/>
      <c r="T45" s="25"/>
      <c r="U45" s="25"/>
      <c r="V45" s="34"/>
      <c r="W45" s="25"/>
      <c r="X45" s="25"/>
      <c r="Y45" s="25"/>
      <c r="Z45" s="25"/>
      <c r="AA45" s="25"/>
      <c r="AB45" s="25"/>
      <c r="AC45" s="26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555-1651-4740-A885-014252136EED}">
  <dimension ref="A2:AZ70"/>
  <sheetViews>
    <sheetView showGridLines="0" tabSelected="1" zoomScale="79" workbookViewId="0">
      <selection activeCell="C20" sqref="C20"/>
    </sheetView>
  </sheetViews>
  <sheetFormatPr defaultRowHeight="15" x14ac:dyDescent="0.25"/>
  <cols>
    <col min="2" max="2" width="18.7109375" bestFit="1" customWidth="1"/>
    <col min="3" max="3" width="10.28515625" bestFit="1" customWidth="1"/>
    <col min="5" max="5" width="4.42578125" bestFit="1" customWidth="1"/>
    <col min="6" max="6" width="8.28515625" bestFit="1" customWidth="1"/>
    <col min="7" max="7" width="7.85546875" bestFit="1" customWidth="1"/>
    <col min="8" max="8" width="8" customWidth="1"/>
    <col min="9" max="9" width="9.85546875" style="12" bestFit="1" customWidth="1"/>
    <col min="10" max="10" width="9.85546875" style="12" customWidth="1"/>
    <col min="11" max="11" width="9.85546875" style="12" bestFit="1" customWidth="1"/>
    <col min="12" max="29" width="8.28515625" style="12" bestFit="1" customWidth="1"/>
    <col min="30" max="30" width="6.140625" bestFit="1" customWidth="1"/>
    <col min="31" max="36" width="10.7109375" customWidth="1"/>
  </cols>
  <sheetData>
    <row r="2" spans="2:36" x14ac:dyDescent="0.25">
      <c r="B2" s="13" t="s">
        <v>176</v>
      </c>
    </row>
    <row r="4" spans="2:36" x14ac:dyDescent="0.25">
      <c r="B4" s="19" t="s">
        <v>148</v>
      </c>
      <c r="C4" s="104">
        <v>30</v>
      </c>
      <c r="E4" s="30" t="s">
        <v>135</v>
      </c>
      <c r="F4" s="31" t="s">
        <v>160</v>
      </c>
      <c r="G4" s="32" t="s">
        <v>54</v>
      </c>
      <c r="I4" s="78" t="s">
        <v>160</v>
      </c>
      <c r="J4" s="68" t="s">
        <v>177</v>
      </c>
      <c r="AE4" s="81"/>
      <c r="AF4" s="82" t="s">
        <v>156</v>
      </c>
      <c r="AG4" s="81"/>
      <c r="AH4" s="83"/>
      <c r="AI4" s="83"/>
      <c r="AJ4" s="83"/>
    </row>
    <row r="5" spans="2:36" x14ac:dyDescent="0.25">
      <c r="B5" s="20" t="s">
        <v>149</v>
      </c>
      <c r="C5" s="105">
        <v>30</v>
      </c>
      <c r="E5" s="28" cm="1">
        <f t="array" ref="E5:E34">_xlfn.SEQUENCE(30,,20,25)</f>
        <v>20</v>
      </c>
      <c r="F5" s="79" cm="1">
        <f t="array" ref="F5:F34">_xlfn.MAP(_xlfn.ANCHORARRAY(E5),_xlfn.LAMBDA(_xlpm.x,BRISTO.OPT_BIN(C4,C5,C6,C7,C8,C10,C11,_xlpm.x)))</f>
        <v>1.9655729209946755</v>
      </c>
      <c r="G5" s="40" cm="1">
        <f t="array" ref="G5:G34">C12-_xlfn.ANCHORARRAY(F5)</f>
        <v>2.8598806398437038E-2</v>
      </c>
      <c r="I5" s="72" cm="1">
        <f t="array" ref="I5:AC25">_xlfn.LAMBDA(_xlpm.spot,_xlpm.u,_xlpm.d,_xlpm.n,
    _xlfn.LET(
        _xlpm.rem_1, "---- Gera matriz de potências para u e d ----",
        _xlpm.rows, _xlfn.SEQUENCE(_xlpm.n + 1, 1, 0),
        _xlpm.cols, _xlfn.SEQUENCE(1, _xlpm.n + 1, 0),
        _xlpm.rem_2, "---- Preço = spot * u^(subidas) * d^(descidas) ----",
        _xlpm.rem_3, "---- Onde subidas = colunas-linhas e descidas = linha ----",
        _xlpm.tree, IF(_xlpm.cols &gt;= _xlpm.rows, _xlpm.spot * _xlpm.u^(_xlpm.cols-_xlpm.rows) * _xlpm.d^(_xlpm.rows), 0),
        _xlpm.tree
    )
)(C4,C16,C17,C9)</f>
        <v>30</v>
      </c>
      <c r="J5" s="73">
        <v>31.327627747860827</v>
      </c>
      <c r="K5" s="73">
        <v>32.714008676951316</v>
      </c>
      <c r="L5" s="73">
        <v>34.161742865727334</v>
      </c>
      <c r="M5" s="73">
        <v>35.673545457188204</v>
      </c>
      <c r="N5" s="73">
        <v>37.252251750972789</v>
      </c>
      <c r="O5" s="73">
        <v>38.900822520802407</v>
      </c>
      <c r="P5" s="73">
        <v>40.622349567243297</v>
      </c>
      <c r="Q5" s="73">
        <v>42.420061516202445</v>
      </c>
      <c r="R5" s="73">
        <v>44.297329874031561</v>
      </c>
      <c r="S5" s="73">
        <v>46.257675350595179</v>
      </c>
      <c r="T5" s="73">
        <v>48.304774462161447</v>
      </c>
      <c r="U5" s="73">
        <v>50.442466426498932</v>
      </c>
      <c r="V5" s="73">
        <v>52.674760363110863</v>
      </c>
      <c r="W5" s="73">
        <v>55.005842812110387</v>
      </c>
      <c r="X5" s="73">
        <v>57.440085585838005</v>
      </c>
      <c r="Y5" s="73">
        <v>59.982053967946655</v>
      </c>
      <c r="Z5" s="73">
        <v>62.63651527533105</v>
      </c>
      <c r="AA5" s="73">
        <v>65.408447798958974</v>
      </c>
      <c r="AB5" s="73">
        <v>68.303050140372449</v>
      </c>
      <c r="AC5" s="74">
        <v>71.325750961368698</v>
      </c>
      <c r="AE5" s="84" t="s">
        <v>155</v>
      </c>
      <c r="AF5" s="85" cm="1">
        <f t="array" ref="AF5:AJ5">_xlfn.SEQUENCE(,5)</f>
        <v>1</v>
      </c>
      <c r="AG5" s="86">
        <v>2</v>
      </c>
      <c r="AH5" s="86">
        <v>3</v>
      </c>
      <c r="AI5" s="86">
        <v>4</v>
      </c>
      <c r="AJ5" s="87">
        <v>5</v>
      </c>
    </row>
    <row r="6" spans="2:36" x14ac:dyDescent="0.25">
      <c r="B6" s="20" t="s">
        <v>150</v>
      </c>
      <c r="C6" s="102">
        <v>0.41670000000000001</v>
      </c>
      <c r="E6" s="28">
        <v>45</v>
      </c>
      <c r="F6" s="79">
        <v>2.0066289214302779</v>
      </c>
      <c r="G6" s="40">
        <v>-1.2457194037165387E-2</v>
      </c>
      <c r="I6" s="39">
        <v>0</v>
      </c>
      <c r="J6" s="75">
        <v>28.728635543157445</v>
      </c>
      <c r="K6" s="75">
        <v>30</v>
      </c>
      <c r="L6" s="75">
        <v>31.32762774786082</v>
      </c>
      <c r="M6" s="75">
        <v>32.714008676951316</v>
      </c>
      <c r="N6" s="75">
        <v>34.161742865727327</v>
      </c>
      <c r="O6" s="75">
        <v>35.673545457188197</v>
      </c>
      <c r="P6" s="75">
        <v>37.252251750972789</v>
      </c>
      <c r="Q6" s="75">
        <v>38.900822520802407</v>
      </c>
      <c r="R6" s="75">
        <v>40.622349567243297</v>
      </c>
      <c r="S6" s="75">
        <v>42.420061516202438</v>
      </c>
      <c r="T6" s="75">
        <v>44.297329874031554</v>
      </c>
      <c r="U6" s="75">
        <v>46.257675350595179</v>
      </c>
      <c r="V6" s="75">
        <v>48.304774462161447</v>
      </c>
      <c r="W6" s="75">
        <v>50.442466426498925</v>
      </c>
      <c r="X6" s="75">
        <v>52.674760363110863</v>
      </c>
      <c r="Y6" s="75">
        <v>55.00584281211038</v>
      </c>
      <c r="Z6" s="75">
        <v>57.440085585838013</v>
      </c>
      <c r="AA6" s="75">
        <v>59.982053967946662</v>
      </c>
      <c r="AB6" s="75">
        <v>62.636515275331035</v>
      </c>
      <c r="AC6" s="40">
        <v>65.408447798958974</v>
      </c>
      <c r="AE6" s="88" cm="1">
        <f t="array" ref="AE6:AE10">_xlfn.SEQUENCE(5)</f>
        <v>1</v>
      </c>
      <c r="AF6" s="89" t="str" cm="1">
        <f t="array" ref="AF6:AJ10">IF(_xlfn.ANCHORARRAY(AE6)&gt;_xlfn.ANCHORARRAY(AF5),"","S"&amp;IF(_xlfn.ANCHORARRAY(AF5)-_xlfn.ANCHORARRAY(AE6)=0,"",".u^"&amp;_xlfn.ANCHORARRAY(AF5)-_xlfn.ANCHORARRAY(AE6))&amp;IF(_xlfn.ANCHORARRAY(AE6)-1=0,"",".d^"&amp;_xlfn.ANCHORARRAY(AE6)-1))</f>
        <v>S</v>
      </c>
      <c r="AG6" s="90" t="str">
        <v>S.u^1</v>
      </c>
      <c r="AH6" s="91" t="str">
        <v>S.u^2</v>
      </c>
      <c r="AI6" s="91" t="str">
        <v>S.u^3</v>
      </c>
      <c r="AJ6" s="92" t="str">
        <v>S.u^4</v>
      </c>
    </row>
    <row r="7" spans="2:36" x14ac:dyDescent="0.25">
      <c r="B7" s="20" t="s">
        <v>151</v>
      </c>
      <c r="C7" s="106">
        <v>0.05</v>
      </c>
      <c r="E7" s="28">
        <v>70</v>
      </c>
      <c r="F7" s="79">
        <v>1.9859610222632336</v>
      </c>
      <c r="G7" s="40">
        <v>8.2107051298789813E-3</v>
      </c>
      <c r="I7" s="39">
        <v>0</v>
      </c>
      <c r="J7" s="75">
        <v>0</v>
      </c>
      <c r="K7" s="75">
        <v>27.511150005718974</v>
      </c>
      <c r="L7" s="75">
        <v>28.728635543157441</v>
      </c>
      <c r="M7" s="75">
        <v>29.999999999999993</v>
      </c>
      <c r="N7" s="75">
        <v>31.32762774786082</v>
      </c>
      <c r="O7" s="75">
        <v>32.714008676951309</v>
      </c>
      <c r="P7" s="75">
        <v>34.161742865727327</v>
      </c>
      <c r="Q7" s="75">
        <v>35.673545457188197</v>
      </c>
      <c r="R7" s="75">
        <v>37.252251750972789</v>
      </c>
      <c r="S7" s="75">
        <v>38.900822520802407</v>
      </c>
      <c r="T7" s="75">
        <v>40.62234956724329</v>
      </c>
      <c r="U7" s="75">
        <v>42.420061516202431</v>
      </c>
      <c r="V7" s="75">
        <v>44.297329874031554</v>
      </c>
      <c r="W7" s="75">
        <v>46.257675350595171</v>
      </c>
      <c r="X7" s="75">
        <v>48.304774462161433</v>
      </c>
      <c r="Y7" s="75">
        <v>50.442466426498925</v>
      </c>
      <c r="Z7" s="75">
        <v>52.674760363110856</v>
      </c>
      <c r="AA7" s="75">
        <v>55.00584281211038</v>
      </c>
      <c r="AB7" s="75">
        <v>57.440085585838013</v>
      </c>
      <c r="AC7" s="40">
        <v>59.982053967946648</v>
      </c>
      <c r="AE7" s="88">
        <v>2</v>
      </c>
      <c r="AF7" s="93" t="str">
        <v/>
      </c>
      <c r="AG7" s="94" t="str">
        <v>S.d^1</v>
      </c>
      <c r="AH7" s="95" t="str">
        <v>S.u^1.d^1</v>
      </c>
      <c r="AI7" s="95" t="str">
        <v>S.u^2.d^1</v>
      </c>
      <c r="AJ7" s="96" t="str">
        <v>S.u^3.d^1</v>
      </c>
    </row>
    <row r="8" spans="2:36" x14ac:dyDescent="0.25">
      <c r="B8" s="20" t="s">
        <v>152</v>
      </c>
      <c r="C8" s="106">
        <v>0.3</v>
      </c>
      <c r="E8" s="28">
        <v>95</v>
      </c>
      <c r="F8" s="79">
        <v>2.000064525082863</v>
      </c>
      <c r="G8" s="40">
        <v>-5.8927976897504841E-3</v>
      </c>
      <c r="I8" s="39">
        <v>0</v>
      </c>
      <c r="J8" s="75">
        <v>0</v>
      </c>
      <c r="K8" s="75">
        <v>0</v>
      </c>
      <c r="L8" s="75">
        <v>26.345260062914477</v>
      </c>
      <c r="M8" s="75">
        <v>27.511150005718974</v>
      </c>
      <c r="N8" s="75">
        <v>28.728635543157438</v>
      </c>
      <c r="O8" s="75">
        <v>29.999999999999996</v>
      </c>
      <c r="P8" s="75">
        <v>31.327627747860816</v>
      </c>
      <c r="Q8" s="75">
        <v>32.714008676951309</v>
      </c>
      <c r="R8" s="75">
        <v>34.161742865727327</v>
      </c>
      <c r="S8" s="75">
        <v>35.673545457188197</v>
      </c>
      <c r="T8" s="75">
        <v>37.252251750972789</v>
      </c>
      <c r="U8" s="75">
        <v>38.9008225208024</v>
      </c>
      <c r="V8" s="75">
        <v>40.622349567243283</v>
      </c>
      <c r="W8" s="75">
        <v>42.420061516202438</v>
      </c>
      <c r="X8" s="75">
        <v>44.297329874031554</v>
      </c>
      <c r="Y8" s="75">
        <v>46.257675350595171</v>
      </c>
      <c r="Z8" s="75">
        <v>48.304774462161433</v>
      </c>
      <c r="AA8" s="75">
        <v>50.442466426498918</v>
      </c>
      <c r="AB8" s="75">
        <v>52.674760363110863</v>
      </c>
      <c r="AC8" s="40">
        <v>55.005842812110387</v>
      </c>
      <c r="AE8" s="88">
        <v>3</v>
      </c>
      <c r="AF8" s="93" t="str">
        <v/>
      </c>
      <c r="AG8" s="94" t="str">
        <v/>
      </c>
      <c r="AH8" s="95" t="str">
        <v>S.d^2</v>
      </c>
      <c r="AI8" s="95" t="str">
        <v>S.u^1.d^2</v>
      </c>
      <c r="AJ8" s="96" t="str">
        <v>S.u^2.d^2</v>
      </c>
    </row>
    <row r="9" spans="2:36" x14ac:dyDescent="0.25">
      <c r="B9" s="20" t="s">
        <v>153</v>
      </c>
      <c r="C9" s="102">
        <v>20</v>
      </c>
      <c r="E9" s="28">
        <v>120</v>
      </c>
      <c r="F9" s="79">
        <v>1.9893784792065832</v>
      </c>
      <c r="G9" s="40">
        <v>4.7932481865293752E-3</v>
      </c>
      <c r="I9" s="39">
        <v>0</v>
      </c>
      <c r="J9" s="75">
        <v>0</v>
      </c>
      <c r="K9" s="75">
        <v>0</v>
      </c>
      <c r="L9" s="75">
        <v>0</v>
      </c>
      <c r="M9" s="75">
        <v>25.228779154572372</v>
      </c>
      <c r="N9" s="75">
        <v>26.345260062914473</v>
      </c>
      <c r="O9" s="75">
        <v>27.511150005718967</v>
      </c>
      <c r="P9" s="75">
        <v>28.728635543157438</v>
      </c>
      <c r="Q9" s="75">
        <v>29.999999999999989</v>
      </c>
      <c r="R9" s="75">
        <v>31.327627747860813</v>
      </c>
      <c r="S9" s="75">
        <v>32.714008676951309</v>
      </c>
      <c r="T9" s="75">
        <v>34.161742865727319</v>
      </c>
      <c r="U9" s="75">
        <v>35.673545457188197</v>
      </c>
      <c r="V9" s="75">
        <v>37.252251750972782</v>
      </c>
      <c r="W9" s="75">
        <v>38.900822520802393</v>
      </c>
      <c r="X9" s="75">
        <v>40.622349567243283</v>
      </c>
      <c r="Y9" s="75">
        <v>42.420061516202431</v>
      </c>
      <c r="Z9" s="75">
        <v>44.29732987403154</v>
      </c>
      <c r="AA9" s="75">
        <v>46.257675350595164</v>
      </c>
      <c r="AB9" s="75">
        <v>48.304774462161426</v>
      </c>
      <c r="AC9" s="40">
        <v>50.442466426498918</v>
      </c>
      <c r="AE9" s="88">
        <v>4</v>
      </c>
      <c r="AF9" s="93" t="str">
        <v/>
      </c>
      <c r="AG9" s="94" t="str">
        <v/>
      </c>
      <c r="AH9" s="95" t="str">
        <v/>
      </c>
      <c r="AI9" s="95" t="str">
        <v>S.d^3</v>
      </c>
      <c r="AJ9" s="96" t="str">
        <v>S.u^1.d^3</v>
      </c>
    </row>
    <row r="10" spans="2:36" x14ac:dyDescent="0.25">
      <c r="B10" s="20" t="s">
        <v>154</v>
      </c>
      <c r="C10" s="102" t="s">
        <v>27</v>
      </c>
      <c r="E10" s="28">
        <v>145</v>
      </c>
      <c r="F10" s="79">
        <v>1.9980308686067083</v>
      </c>
      <c r="G10" s="40">
        <v>-3.8591412135957626E-3</v>
      </c>
      <c r="I10" s="39">
        <v>0</v>
      </c>
      <c r="J10" s="75">
        <v>0</v>
      </c>
      <c r="K10" s="75">
        <v>0</v>
      </c>
      <c r="L10" s="75">
        <v>0</v>
      </c>
      <c r="M10" s="75">
        <v>0</v>
      </c>
      <c r="N10" s="75">
        <v>24.159613384350582</v>
      </c>
      <c r="O10" s="75">
        <v>25.228779154572372</v>
      </c>
      <c r="P10" s="75">
        <v>26.34526006291447</v>
      </c>
      <c r="Q10" s="75">
        <v>27.511150005718971</v>
      </c>
      <c r="R10" s="75">
        <v>28.728635543157434</v>
      </c>
      <c r="S10" s="75">
        <v>29.999999999999986</v>
      </c>
      <c r="T10" s="75">
        <v>31.327627747860813</v>
      </c>
      <c r="U10" s="75">
        <v>32.714008676951309</v>
      </c>
      <c r="V10" s="75">
        <v>34.161742865727319</v>
      </c>
      <c r="W10" s="75">
        <v>35.67354545718819</v>
      </c>
      <c r="X10" s="75">
        <v>37.252251750972775</v>
      </c>
      <c r="Y10" s="75">
        <v>38.900822520802393</v>
      </c>
      <c r="Z10" s="75">
        <v>40.622349567243283</v>
      </c>
      <c r="AA10" s="75">
        <v>42.420061516202423</v>
      </c>
      <c r="AB10" s="75">
        <v>44.297329874031547</v>
      </c>
      <c r="AC10" s="40">
        <v>46.257675350595164</v>
      </c>
      <c r="AE10" s="97">
        <v>5</v>
      </c>
      <c r="AF10" s="98" t="str">
        <v/>
      </c>
      <c r="AG10" s="99" t="str">
        <v/>
      </c>
      <c r="AH10" s="100" t="str">
        <v/>
      </c>
      <c r="AI10" s="100" t="str">
        <v/>
      </c>
      <c r="AJ10" s="101" t="str">
        <v>S.d^4</v>
      </c>
    </row>
    <row r="11" spans="2:36" x14ac:dyDescent="0.25">
      <c r="B11" s="70" t="s">
        <v>164</v>
      </c>
      <c r="C11" s="102" t="s">
        <v>165</v>
      </c>
      <c r="E11" s="28">
        <v>170</v>
      </c>
      <c r="F11" s="79">
        <v>1.9907872021285209</v>
      </c>
      <c r="G11" s="40">
        <v>3.3845252645916535E-3</v>
      </c>
      <c r="I11" s="39">
        <v>0</v>
      </c>
      <c r="J11" s="75">
        <v>0</v>
      </c>
      <c r="K11" s="75">
        <v>0</v>
      </c>
      <c r="L11" s="75">
        <v>0</v>
      </c>
      <c r="M11" s="75">
        <v>0</v>
      </c>
      <c r="N11" s="75">
        <v>0</v>
      </c>
      <c r="O11" s="75">
        <v>23.135757592753215</v>
      </c>
      <c r="P11" s="75">
        <v>24.159613384350582</v>
      </c>
      <c r="Q11" s="75">
        <v>25.228779154572365</v>
      </c>
      <c r="R11" s="75">
        <v>26.34526006291447</v>
      </c>
      <c r="S11" s="75">
        <v>27.511150005718964</v>
      </c>
      <c r="T11" s="75">
        <v>28.728635543157431</v>
      </c>
      <c r="U11" s="75">
        <v>29.999999999999986</v>
      </c>
      <c r="V11" s="75">
        <v>31.327627747860813</v>
      </c>
      <c r="W11" s="75">
        <v>32.714008676951302</v>
      </c>
      <c r="X11" s="75">
        <v>34.161742865727319</v>
      </c>
      <c r="Y11" s="75">
        <v>35.67354545718819</v>
      </c>
      <c r="Z11" s="75">
        <v>37.252251750972775</v>
      </c>
      <c r="AA11" s="75">
        <v>38.900822520802393</v>
      </c>
      <c r="AB11" s="75">
        <v>40.622349567243276</v>
      </c>
      <c r="AC11" s="40">
        <v>42.420061516202423</v>
      </c>
    </row>
    <row r="12" spans="2:36" x14ac:dyDescent="0.25">
      <c r="B12" s="71" t="s">
        <v>175</v>
      </c>
      <c r="C12" s="103" cm="1">
        <f t="array" ref="C12">BRISTO.OPT_BS(C4,C10,C6,C5,C7,0,C8,"P")</f>
        <v>1.9941717273931125</v>
      </c>
      <c r="E12" s="28">
        <v>195</v>
      </c>
      <c r="F12" s="79">
        <v>1.9970407403984771</v>
      </c>
      <c r="G12" s="40">
        <v>-2.8690130053645735E-3</v>
      </c>
      <c r="I12" s="39">
        <v>0</v>
      </c>
      <c r="J12" s="75">
        <v>0</v>
      </c>
      <c r="K12" s="75">
        <v>0</v>
      </c>
      <c r="L12" s="75">
        <v>0</v>
      </c>
      <c r="M12" s="75">
        <v>0</v>
      </c>
      <c r="N12" s="75">
        <v>0</v>
      </c>
      <c r="O12" s="75">
        <v>0</v>
      </c>
      <c r="P12" s="75">
        <v>22.155291596568155</v>
      </c>
      <c r="Q12" s="75">
        <v>23.135757592753212</v>
      </c>
      <c r="R12" s="75">
        <v>24.159613384350575</v>
      </c>
      <c r="S12" s="75">
        <v>25.228779154572365</v>
      </c>
      <c r="T12" s="75">
        <v>26.345260062914466</v>
      </c>
      <c r="U12" s="75">
        <v>27.51115000571896</v>
      </c>
      <c r="V12" s="75">
        <v>28.728635543157427</v>
      </c>
      <c r="W12" s="75">
        <v>29.999999999999982</v>
      </c>
      <c r="X12" s="75">
        <v>31.327627747860809</v>
      </c>
      <c r="Y12" s="75">
        <v>32.714008676951302</v>
      </c>
      <c r="Z12" s="75">
        <v>34.161742865727312</v>
      </c>
      <c r="AA12" s="75">
        <v>35.673545457188183</v>
      </c>
      <c r="AB12" s="75">
        <v>37.252251750972768</v>
      </c>
      <c r="AC12" s="40">
        <v>38.900822520802386</v>
      </c>
    </row>
    <row r="13" spans="2:36" x14ac:dyDescent="0.25">
      <c r="E13" s="28">
        <v>220</v>
      </c>
      <c r="F13" s="79">
        <v>1.9915559694035845</v>
      </c>
      <c r="G13" s="40">
        <v>2.6157579895280669E-3</v>
      </c>
      <c r="I13" s="39">
        <v>0</v>
      </c>
      <c r="J13" s="75">
        <v>0</v>
      </c>
      <c r="K13" s="75">
        <v>0</v>
      </c>
      <c r="L13" s="75">
        <v>0</v>
      </c>
      <c r="M13" s="75">
        <v>0</v>
      </c>
      <c r="N13" s="75">
        <v>0</v>
      </c>
      <c r="O13" s="75">
        <v>0</v>
      </c>
      <c r="P13" s="75">
        <v>0</v>
      </c>
      <c r="Q13" s="75">
        <v>21.216376587672848</v>
      </c>
      <c r="R13" s="75">
        <v>22.155291596568155</v>
      </c>
      <c r="S13" s="75">
        <v>23.135757592753208</v>
      </c>
      <c r="T13" s="75">
        <v>24.159613384350578</v>
      </c>
      <c r="U13" s="75">
        <v>25.228779154572361</v>
      </c>
      <c r="V13" s="75">
        <v>26.345260062914463</v>
      </c>
      <c r="W13" s="75">
        <v>27.51115000571896</v>
      </c>
      <c r="X13" s="75">
        <v>28.728635543157431</v>
      </c>
      <c r="Y13" s="75">
        <v>29.999999999999982</v>
      </c>
      <c r="Z13" s="75">
        <v>31.327627747860806</v>
      </c>
      <c r="AA13" s="75">
        <v>32.714008676951295</v>
      </c>
      <c r="AB13" s="75">
        <v>34.161742865727312</v>
      </c>
      <c r="AC13" s="40">
        <v>35.673545457188183</v>
      </c>
    </row>
    <row r="14" spans="2:36" x14ac:dyDescent="0.25">
      <c r="B14" s="19" t="s">
        <v>169</v>
      </c>
      <c r="C14" s="23" cm="1">
        <f t="array" ref="C14">_xlfn.SWITCH(UPPER(TRIM(C10)),"C",1,"P",-1)</f>
        <v>-1</v>
      </c>
      <c r="E14" s="28">
        <v>245</v>
      </c>
      <c r="F14" s="79">
        <v>1.9964549415449941</v>
      </c>
      <c r="G14" s="40">
        <v>-2.2832141518815963E-3</v>
      </c>
      <c r="I14" s="39">
        <v>0</v>
      </c>
      <c r="J14" s="75">
        <v>0</v>
      </c>
      <c r="K14" s="75">
        <v>0</v>
      </c>
      <c r="L14" s="75">
        <v>0</v>
      </c>
      <c r="M14" s="75">
        <v>0</v>
      </c>
      <c r="N14" s="75">
        <v>0</v>
      </c>
      <c r="O14" s="75">
        <v>0</v>
      </c>
      <c r="P14" s="75">
        <v>0</v>
      </c>
      <c r="Q14" s="75">
        <v>0</v>
      </c>
      <c r="R14" s="75">
        <v>20.317251684454387</v>
      </c>
      <c r="S14" s="75">
        <v>21.216376587672848</v>
      </c>
      <c r="T14" s="75">
        <v>22.155291596568155</v>
      </c>
      <c r="U14" s="75">
        <v>23.135757592753212</v>
      </c>
      <c r="V14" s="75">
        <v>24.159613384350575</v>
      </c>
      <c r="W14" s="75">
        <v>25.228779154572361</v>
      </c>
      <c r="X14" s="75">
        <v>26.345260062914463</v>
      </c>
      <c r="Y14" s="75">
        <v>27.511150005718964</v>
      </c>
      <c r="Z14" s="75">
        <v>28.728635543157431</v>
      </c>
      <c r="AA14" s="75">
        <v>29.999999999999982</v>
      </c>
      <c r="AB14" s="75">
        <v>31.327627747860806</v>
      </c>
      <c r="AC14" s="40">
        <v>32.714008676951302</v>
      </c>
    </row>
    <row r="15" spans="2:36" x14ac:dyDescent="0.25">
      <c r="B15" s="20" t="s">
        <v>166</v>
      </c>
      <c r="C15" s="24">
        <f>C6/C9</f>
        <v>2.0834999999999999E-2</v>
      </c>
      <c r="E15" s="28">
        <v>270</v>
      </c>
      <c r="F15" s="79">
        <v>1.9920401423608942</v>
      </c>
      <c r="G15" s="40">
        <v>2.1315850322183305E-3</v>
      </c>
      <c r="I15" s="39">
        <v>0</v>
      </c>
      <c r="J15" s="75">
        <v>0</v>
      </c>
      <c r="K15" s="75">
        <v>0</v>
      </c>
      <c r="L15" s="75">
        <v>0</v>
      </c>
      <c r="M15" s="75">
        <v>0</v>
      </c>
      <c r="N15" s="75">
        <v>0</v>
      </c>
      <c r="O15" s="75">
        <v>0</v>
      </c>
      <c r="P15" s="75">
        <v>0</v>
      </c>
      <c r="Q15" s="75">
        <v>0</v>
      </c>
      <c r="R15" s="75">
        <v>0</v>
      </c>
      <c r="S15" s="75">
        <v>19.456230629376392</v>
      </c>
      <c r="T15" s="75">
        <v>20.317251684454387</v>
      </c>
      <c r="U15" s="75">
        <v>21.216376587672841</v>
      </c>
      <c r="V15" s="75">
        <v>22.155291596568151</v>
      </c>
      <c r="W15" s="75">
        <v>23.135757592753205</v>
      </c>
      <c r="X15" s="75">
        <v>24.159613384350571</v>
      </c>
      <c r="Y15" s="75">
        <v>25.228779154572358</v>
      </c>
      <c r="Z15" s="75">
        <v>26.345260062914463</v>
      </c>
      <c r="AA15" s="75">
        <v>27.51115000571896</v>
      </c>
      <c r="AB15" s="75">
        <v>28.728635543157424</v>
      </c>
      <c r="AC15" s="40">
        <v>29.999999999999975</v>
      </c>
    </row>
    <row r="16" spans="2:36" x14ac:dyDescent="0.25">
      <c r="B16" s="20" t="s">
        <v>167</v>
      </c>
      <c r="C16" s="24">
        <f>EXP(C8*SQRT(C15))</f>
        <v>1.0442542582620276</v>
      </c>
      <c r="E16" s="28">
        <v>295</v>
      </c>
      <c r="F16" s="79">
        <v>1.9960677987196591</v>
      </c>
      <c r="G16" s="40">
        <v>-1.8960713265465667E-3</v>
      </c>
      <c r="I16" s="76">
        <v>0</v>
      </c>
      <c r="J16" s="75">
        <v>0</v>
      </c>
      <c r="K16" s="75">
        <v>0</v>
      </c>
      <c r="L16" s="75">
        <v>0</v>
      </c>
      <c r="M16" s="75">
        <v>0</v>
      </c>
      <c r="N16" s="75">
        <v>0</v>
      </c>
      <c r="O16" s="75">
        <v>0</v>
      </c>
      <c r="P16" s="75">
        <v>0</v>
      </c>
      <c r="Q16" s="75">
        <v>0</v>
      </c>
      <c r="R16" s="75">
        <v>0</v>
      </c>
      <c r="S16" s="75">
        <v>0</v>
      </c>
      <c r="T16" s="75">
        <v>18.631698626499038</v>
      </c>
      <c r="U16" s="75">
        <v>19.456230629376392</v>
      </c>
      <c r="V16" s="75">
        <v>20.31725168445438</v>
      </c>
      <c r="W16" s="75">
        <v>21.216376587672844</v>
      </c>
      <c r="X16" s="75">
        <v>22.155291596568148</v>
      </c>
      <c r="Y16" s="75">
        <v>23.135757592753205</v>
      </c>
      <c r="Z16" s="75">
        <v>24.159613384350568</v>
      </c>
      <c r="AA16" s="75">
        <v>25.228779154572358</v>
      </c>
      <c r="AB16" s="75">
        <v>26.345260062914459</v>
      </c>
      <c r="AC16" s="40">
        <v>27.511150005718957</v>
      </c>
    </row>
    <row r="17" spans="1:52" x14ac:dyDescent="0.25">
      <c r="B17" s="20" t="s">
        <v>115</v>
      </c>
      <c r="C17" s="24">
        <f>1/C16</f>
        <v>0.95762118477191482</v>
      </c>
      <c r="E17" s="28">
        <v>320</v>
      </c>
      <c r="F17" s="79">
        <v>1.9923730712665444</v>
      </c>
      <c r="G17" s="40">
        <v>1.7986561265681544E-3</v>
      </c>
      <c r="I17" s="39">
        <v>0</v>
      </c>
      <c r="J17" s="75">
        <v>0</v>
      </c>
      <c r="K17" s="75">
        <v>0</v>
      </c>
      <c r="L17" s="75">
        <v>0</v>
      </c>
      <c r="M17" s="75">
        <v>0</v>
      </c>
      <c r="N17" s="75">
        <v>0</v>
      </c>
      <c r="O17" s="75">
        <v>0</v>
      </c>
      <c r="P17" s="75">
        <v>0</v>
      </c>
      <c r="Q17" s="75">
        <v>0</v>
      </c>
      <c r="R17" s="75">
        <v>0</v>
      </c>
      <c r="S17" s="75">
        <v>0</v>
      </c>
      <c r="T17" s="75">
        <v>0</v>
      </c>
      <c r="U17" s="75">
        <v>17.842109313021268</v>
      </c>
      <c r="V17" s="75">
        <v>18.631698626499038</v>
      </c>
      <c r="W17" s="75">
        <v>19.456230629376389</v>
      </c>
      <c r="X17" s="75">
        <v>20.317251684454384</v>
      </c>
      <c r="Y17" s="75">
        <v>21.216376587672841</v>
      </c>
      <c r="Z17" s="75">
        <v>22.155291596568148</v>
      </c>
      <c r="AA17" s="75">
        <v>23.135757592753205</v>
      </c>
      <c r="AB17" s="75">
        <v>24.159613384350571</v>
      </c>
      <c r="AC17" s="40">
        <v>25.228779154572358</v>
      </c>
    </row>
    <row r="18" spans="1:52" x14ac:dyDescent="0.25">
      <c r="B18" s="21" t="s">
        <v>168</v>
      </c>
      <c r="C18" s="26">
        <f>(EXP(C7*C15)-C17)/(C16-C17)</f>
        <v>0.50120705971543655</v>
      </c>
      <c r="E18" s="28">
        <v>345</v>
      </c>
      <c r="F18" s="79">
        <v>1.995792910058503</v>
      </c>
      <c r="G18" s="40">
        <v>-1.6211826653904637E-3</v>
      </c>
      <c r="I18" s="39">
        <v>0</v>
      </c>
      <c r="J18" s="75">
        <v>0</v>
      </c>
      <c r="K18" s="75">
        <v>0</v>
      </c>
      <c r="L18" s="75">
        <v>0</v>
      </c>
      <c r="M18" s="75">
        <v>0</v>
      </c>
      <c r="N18" s="75">
        <v>0</v>
      </c>
      <c r="O18" s="75">
        <v>0</v>
      </c>
      <c r="P18" s="75">
        <v>0</v>
      </c>
      <c r="Q18" s="75">
        <v>0</v>
      </c>
      <c r="R18" s="75">
        <v>0</v>
      </c>
      <c r="S18" s="75">
        <v>0</v>
      </c>
      <c r="T18" s="75">
        <v>0</v>
      </c>
      <c r="U18" s="75">
        <v>0</v>
      </c>
      <c r="V18" s="75">
        <v>17.085981859165443</v>
      </c>
      <c r="W18" s="75">
        <v>17.842109313021268</v>
      </c>
      <c r="X18" s="75">
        <v>18.631698626499034</v>
      </c>
      <c r="Y18" s="75">
        <v>19.456230629376389</v>
      </c>
      <c r="Z18" s="75">
        <v>20.31725168445438</v>
      </c>
      <c r="AA18" s="75">
        <v>21.216376587672837</v>
      </c>
      <c r="AB18" s="75">
        <v>22.155291596568148</v>
      </c>
      <c r="AC18" s="40">
        <v>23.135757592753205</v>
      </c>
    </row>
    <row r="19" spans="1:52" x14ac:dyDescent="0.25">
      <c r="A19" s="13"/>
      <c r="E19" s="28">
        <v>370</v>
      </c>
      <c r="F19" s="79">
        <v>1.9926160501694239</v>
      </c>
      <c r="G19" s="40">
        <v>1.5556772236886562E-3</v>
      </c>
      <c r="I19" s="39">
        <v>0</v>
      </c>
      <c r="J19" s="75">
        <v>0</v>
      </c>
      <c r="K19" s="75">
        <v>0</v>
      </c>
      <c r="L19" s="75">
        <v>0</v>
      </c>
      <c r="M19" s="75">
        <v>0</v>
      </c>
      <c r="N19" s="75">
        <v>0</v>
      </c>
      <c r="O19" s="75">
        <v>0</v>
      </c>
      <c r="P19" s="75">
        <v>0</v>
      </c>
      <c r="Q19" s="75">
        <v>0</v>
      </c>
      <c r="R19" s="75">
        <v>0</v>
      </c>
      <c r="S19" s="75">
        <v>0</v>
      </c>
      <c r="T19" s="75">
        <v>0</v>
      </c>
      <c r="U19" s="75">
        <v>0</v>
      </c>
      <c r="V19" s="75">
        <v>0</v>
      </c>
      <c r="W19" s="75">
        <v>16.361898190965455</v>
      </c>
      <c r="X19" s="75">
        <v>17.08598185916544</v>
      </c>
      <c r="Y19" s="75">
        <v>17.842109313021265</v>
      </c>
      <c r="Z19" s="75">
        <v>18.631698626499034</v>
      </c>
      <c r="AA19" s="75">
        <v>19.456230629376385</v>
      </c>
      <c r="AB19" s="75">
        <v>20.317251684454376</v>
      </c>
      <c r="AC19" s="40">
        <v>21.216376587672837</v>
      </c>
      <c r="AD19" s="3"/>
    </row>
    <row r="20" spans="1:52" x14ac:dyDescent="0.25">
      <c r="E20" s="28">
        <v>395</v>
      </c>
      <c r="F20" s="79">
        <v>1.9955876345553838</v>
      </c>
      <c r="G20" s="40">
        <v>-1.415907162271246E-3</v>
      </c>
      <c r="I20" s="39">
        <v>0</v>
      </c>
      <c r="J20" s="75">
        <v>0</v>
      </c>
      <c r="K20" s="75">
        <v>0</v>
      </c>
      <c r="L20" s="75">
        <v>0</v>
      </c>
      <c r="M20" s="75">
        <v>0</v>
      </c>
      <c r="N20" s="75">
        <v>0</v>
      </c>
      <c r="O20" s="75">
        <v>0</v>
      </c>
      <c r="P20" s="75">
        <v>0</v>
      </c>
      <c r="Q20" s="75">
        <v>0</v>
      </c>
      <c r="R20" s="75">
        <v>0</v>
      </c>
      <c r="S20" s="75">
        <v>0</v>
      </c>
      <c r="T20" s="75">
        <v>0</v>
      </c>
      <c r="U20" s="75">
        <v>0</v>
      </c>
      <c r="V20" s="75">
        <v>0</v>
      </c>
      <c r="W20" s="75">
        <v>0</v>
      </c>
      <c r="X20" s="75">
        <v>15.668500330749787</v>
      </c>
      <c r="Y20" s="75">
        <v>16.361898190965452</v>
      </c>
      <c r="Z20" s="75">
        <v>17.085981859165436</v>
      </c>
      <c r="AA20" s="75">
        <v>17.842109313021265</v>
      </c>
      <c r="AB20" s="75">
        <v>18.631698626499031</v>
      </c>
      <c r="AC20" s="40">
        <v>19.456230629376382</v>
      </c>
      <c r="AD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1:52" x14ac:dyDescent="0.25">
      <c r="B21" s="107" t="s">
        <v>153</v>
      </c>
      <c r="C21" s="109">
        <v>1000</v>
      </c>
      <c r="E21" s="28">
        <v>420</v>
      </c>
      <c r="F21" s="79">
        <v>1.9928011943583532</v>
      </c>
      <c r="G21" s="40">
        <v>1.3705330347593137E-3</v>
      </c>
      <c r="I21" s="39">
        <v>0</v>
      </c>
      <c r="J21" s="75">
        <v>0</v>
      </c>
      <c r="K21" s="75">
        <v>0</v>
      </c>
      <c r="L21" s="75">
        <v>0</v>
      </c>
      <c r="M21" s="75">
        <v>0</v>
      </c>
      <c r="N21" s="75">
        <v>0</v>
      </c>
      <c r="O21" s="75">
        <v>0</v>
      </c>
      <c r="P21" s="75">
        <v>0</v>
      </c>
      <c r="Q21" s="75">
        <v>0</v>
      </c>
      <c r="R21" s="75">
        <v>0</v>
      </c>
      <c r="S21" s="75">
        <v>0</v>
      </c>
      <c r="T21" s="75">
        <v>0</v>
      </c>
      <c r="U21" s="75">
        <v>0</v>
      </c>
      <c r="V21" s="75">
        <v>0</v>
      </c>
      <c r="W21" s="75">
        <v>0</v>
      </c>
      <c r="X21" s="75">
        <v>0</v>
      </c>
      <c r="Y21" s="75">
        <v>15.004487850331751</v>
      </c>
      <c r="Z21" s="75">
        <v>15.668500330749788</v>
      </c>
      <c r="AA21" s="75">
        <v>16.361898190965452</v>
      </c>
      <c r="AB21" s="75">
        <v>17.08598185916544</v>
      </c>
      <c r="AC21" s="40">
        <v>17.842109313021261</v>
      </c>
      <c r="AD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1:52" x14ac:dyDescent="0.25">
      <c r="B22" s="21" t="s">
        <v>178</v>
      </c>
      <c r="C22" s="108" cm="1">
        <f t="array" ref="C22">BRISTO.OPT_BIN(C4,C5,C6,C7,C8,C10,"A",C21)</f>
        <v>2.0491349481743013</v>
      </c>
      <c r="E22" s="28">
        <v>445</v>
      </c>
      <c r="F22" s="79">
        <v>1.9954285008094617</v>
      </c>
      <c r="G22" s="40">
        <v>-1.2567734163491107E-3</v>
      </c>
      <c r="I22" s="39">
        <v>0</v>
      </c>
      <c r="J22" s="75">
        <v>0</v>
      </c>
      <c r="K22" s="75">
        <v>0</v>
      </c>
      <c r="L22" s="75">
        <v>0</v>
      </c>
      <c r="M22" s="75">
        <v>0</v>
      </c>
      <c r="N22" s="75">
        <v>0</v>
      </c>
      <c r="O22" s="75">
        <v>0</v>
      </c>
      <c r="P22" s="75">
        <v>0</v>
      </c>
      <c r="Q22" s="75">
        <v>0</v>
      </c>
      <c r="R22" s="75">
        <v>0</v>
      </c>
      <c r="S22" s="75">
        <v>0</v>
      </c>
      <c r="T22" s="75">
        <v>0</v>
      </c>
      <c r="U22" s="75">
        <v>0</v>
      </c>
      <c r="V22" s="75">
        <v>0</v>
      </c>
      <c r="W22" s="75">
        <v>0</v>
      </c>
      <c r="X22" s="75">
        <v>0</v>
      </c>
      <c r="Y22" s="75">
        <v>0</v>
      </c>
      <c r="Z22" s="75">
        <v>14.368615432130493</v>
      </c>
      <c r="AA22" s="75">
        <v>15.004487850331751</v>
      </c>
      <c r="AB22" s="75">
        <v>15.668500330749785</v>
      </c>
      <c r="AC22" s="40">
        <v>16.361898190965452</v>
      </c>
      <c r="AD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1:52" x14ac:dyDescent="0.25">
      <c r="E23" s="28">
        <v>470</v>
      </c>
      <c r="F23" s="79">
        <v>1.9929469567427791</v>
      </c>
      <c r="G23" s="40">
        <v>1.2247706503334399E-3</v>
      </c>
      <c r="I23" s="39">
        <v>0</v>
      </c>
      <c r="J23" s="75">
        <v>0</v>
      </c>
      <c r="K23" s="75">
        <v>0</v>
      </c>
      <c r="L23" s="75">
        <v>0</v>
      </c>
      <c r="M23" s="75">
        <v>0</v>
      </c>
      <c r="N23" s="75">
        <v>0</v>
      </c>
      <c r="O23" s="75">
        <v>0</v>
      </c>
      <c r="P23" s="75">
        <v>0</v>
      </c>
      <c r="Q23" s="75">
        <v>0</v>
      </c>
      <c r="R23" s="75">
        <v>0</v>
      </c>
      <c r="S23" s="75">
        <v>0</v>
      </c>
      <c r="T23" s="75">
        <v>0</v>
      </c>
      <c r="U23" s="75">
        <v>0</v>
      </c>
      <c r="V23" s="75">
        <v>0</v>
      </c>
      <c r="W23" s="75">
        <v>0</v>
      </c>
      <c r="X23" s="75">
        <v>0</v>
      </c>
      <c r="Y23" s="75">
        <v>0</v>
      </c>
      <c r="Z23" s="75">
        <v>0</v>
      </c>
      <c r="AA23" s="75">
        <v>13.759690533648822</v>
      </c>
      <c r="AB23" s="75">
        <v>14.368615432130493</v>
      </c>
      <c r="AC23" s="40">
        <v>15.004487850331747</v>
      </c>
      <c r="AD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1:52" x14ac:dyDescent="0.25">
      <c r="E24" s="28">
        <v>495</v>
      </c>
      <c r="F24" s="79">
        <v>1.9953015230923001</v>
      </c>
      <c r="G24" s="40">
        <v>-1.1297956991875857E-3</v>
      </c>
      <c r="I24" s="39">
        <v>0</v>
      </c>
      <c r="J24" s="75">
        <v>0</v>
      </c>
      <c r="K24" s="75">
        <v>0</v>
      </c>
      <c r="L24" s="75">
        <v>0</v>
      </c>
      <c r="M24" s="75">
        <v>0</v>
      </c>
      <c r="N24" s="75">
        <v>0</v>
      </c>
      <c r="O24" s="75">
        <v>0</v>
      </c>
      <c r="P24" s="75">
        <v>0</v>
      </c>
      <c r="Q24" s="75">
        <v>0</v>
      </c>
      <c r="R24" s="75">
        <v>0</v>
      </c>
      <c r="S24" s="75">
        <v>0</v>
      </c>
      <c r="T24" s="75">
        <v>0</v>
      </c>
      <c r="U24" s="75">
        <v>0</v>
      </c>
      <c r="V24" s="75">
        <v>0</v>
      </c>
      <c r="W24" s="75">
        <v>0</v>
      </c>
      <c r="X24" s="75">
        <v>0</v>
      </c>
      <c r="Y24" s="75">
        <v>0</v>
      </c>
      <c r="Z24" s="75">
        <v>0</v>
      </c>
      <c r="AA24" s="75">
        <v>0</v>
      </c>
      <c r="AB24" s="75">
        <v>13.176571150927685</v>
      </c>
      <c r="AC24" s="40">
        <v>13.759690533648822</v>
      </c>
      <c r="AD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1:52" x14ac:dyDescent="0.25">
      <c r="E25" s="28">
        <v>520</v>
      </c>
      <c r="F25" s="79">
        <v>1.9930646946944164</v>
      </c>
      <c r="G25" s="40">
        <v>1.1070326986961643E-3</v>
      </c>
      <c r="I25" s="41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3">
        <v>12.618163676782803</v>
      </c>
      <c r="AD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1:52" x14ac:dyDescent="0.25">
      <c r="E26" s="28">
        <v>545</v>
      </c>
      <c r="F26" s="79">
        <v>1.995197849178193</v>
      </c>
      <c r="G26" s="40">
        <v>-1.0261217850804361E-3</v>
      </c>
      <c r="AD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1:52" x14ac:dyDescent="0.25">
      <c r="E27" s="28">
        <v>570</v>
      </c>
      <c r="F27" s="79">
        <v>1.9931617814301679</v>
      </c>
      <c r="G27" s="40">
        <v>1.0099459629446805E-3</v>
      </c>
      <c r="I27" s="77" t="s">
        <v>174</v>
      </c>
      <c r="J27" s="68" t="s">
        <v>177</v>
      </c>
      <c r="AD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1:52" x14ac:dyDescent="0.25">
      <c r="E28" s="28">
        <v>595</v>
      </c>
      <c r="F28" s="79">
        <v>1.9951116029723586</v>
      </c>
      <c r="G28" s="40">
        <v>-9.3987557924601894E-4</v>
      </c>
      <c r="I28" s="72" cm="1">
        <f t="array" ref="I28:AC48">_xlfn.LAMBDA(_xlpm.btree,_xlpm.k,_xlpm.cp,_xlpm.p,_xlpm.r,_xlpm.dt,_xlpm.n,
    _xlfn.LET(
      _xlpm.payoff,_xlfn.MAP(_xlfn.TAKE(_xlpm.btree,,-1),_xlfn.LAMBDA(_xlpm.st,MAX(_xlpm.cp*(_xlpm.st-_xlpm.k),0))),
      _xlfn.REDUCE(_xlpm.payoff,_xlfn.SEQUENCE(_xlpm.n),_xlfn.LAMBDA(_xlpm.prev_step,_xlpm.i,
        _xlfn.LET(
          _xlpm.last,_xlfn.TAKE(_xlpm.prev_step,,1),
          _xlpm.v_up, _xlfn.DROP(_xlpm.last,-1),
          _xlpm.v_dw, _xlfn.DROP(_xlpm.last,1),
          _xlpm.new_step,EXP(-_xlpm.r*_xlpm.dt) * (_xlpm.p * _xlpm.v_up + (1 - _xlpm.p) * _xlpm.v_dw),
          _xlfn.HSTACK(_xlpm.new_step,_xlpm.prev_step)
       )))
    )
)(_xlfn.ANCHORARRAY(I5),C5,C14,C18,C7,C15,C9)</f>
        <v>1.9655729209946755</v>
      </c>
      <c r="J28" s="73">
        <v>1.4231439236119761</v>
      </c>
      <c r="K28" s="73">
        <v>0.97362550965499128</v>
      </c>
      <c r="L28" s="73">
        <v>0.62109032897375438</v>
      </c>
      <c r="M28" s="73">
        <v>0.36289439408570762</v>
      </c>
      <c r="N28" s="73">
        <v>0.18940096782082894</v>
      </c>
      <c r="O28" s="73">
        <v>8.5067813200469938E-2</v>
      </c>
      <c r="P28" s="73">
        <v>3.0950161117304222E-2</v>
      </c>
      <c r="Q28" s="73">
        <v>8.1464547237991587E-3</v>
      </c>
      <c r="R28" s="73">
        <v>1.1698907608515947E-3</v>
      </c>
      <c r="S28" s="73">
        <v>2.3460483893084413E-17</v>
      </c>
      <c r="T28" s="73">
        <v>0</v>
      </c>
      <c r="U28" s="73">
        <v>0</v>
      </c>
      <c r="V28" s="73">
        <v>0</v>
      </c>
      <c r="W28" s="73">
        <v>0</v>
      </c>
      <c r="X28" s="73">
        <v>0</v>
      </c>
      <c r="Y28" s="73">
        <v>0</v>
      </c>
      <c r="Z28" s="73">
        <v>0</v>
      </c>
      <c r="AA28" s="73">
        <v>0</v>
      </c>
      <c r="AB28" s="73">
        <v>0</v>
      </c>
      <c r="AC28" s="74">
        <v>0</v>
      </c>
      <c r="AD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1:52" x14ac:dyDescent="0.25">
      <c r="E29" s="28">
        <v>620</v>
      </c>
      <c r="F29" s="79">
        <v>1.9932432121937507</v>
      </c>
      <c r="G29" s="40">
        <v>9.2851519936187898E-4</v>
      </c>
      <c r="I29" s="39" t="e">
        <v>#N/A</v>
      </c>
      <c r="J29" s="75">
        <v>2.5147345535739141</v>
      </c>
      <c r="K29" s="75">
        <v>1.8778118166601996</v>
      </c>
      <c r="L29" s="75">
        <v>1.3299014507748903</v>
      </c>
      <c r="M29" s="75">
        <v>0.88183376144048409</v>
      </c>
      <c r="N29" s="75">
        <v>0.53798583027584101</v>
      </c>
      <c r="O29" s="75">
        <v>0.29463486486662149</v>
      </c>
      <c r="P29" s="75">
        <v>0.13962515082806987</v>
      </c>
      <c r="Q29" s="75">
        <v>5.3928910086696105E-2</v>
      </c>
      <c r="R29" s="75">
        <v>1.517380779734416E-2</v>
      </c>
      <c r="S29" s="75">
        <v>2.3478883420282324E-3</v>
      </c>
      <c r="T29" s="75">
        <v>4.708353845859802E-17</v>
      </c>
      <c r="U29" s="75">
        <v>0</v>
      </c>
      <c r="V29" s="75">
        <v>0</v>
      </c>
      <c r="W29" s="75">
        <v>0</v>
      </c>
      <c r="X29" s="75">
        <v>0</v>
      </c>
      <c r="Y29" s="75">
        <v>0</v>
      </c>
      <c r="Z29" s="75">
        <v>0</v>
      </c>
      <c r="AA29" s="75">
        <v>0</v>
      </c>
      <c r="AB29" s="75">
        <v>0</v>
      </c>
      <c r="AC29" s="40">
        <v>0</v>
      </c>
      <c r="AD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1:52" x14ac:dyDescent="0.25">
      <c r="E30" s="28">
        <v>645</v>
      </c>
      <c r="F30" s="79">
        <v>1.9950387307682573</v>
      </c>
      <c r="G30" s="40">
        <v>-8.6700337514478143E-4</v>
      </c>
      <c r="I30" s="39" t="e">
        <v>#N/A</v>
      </c>
      <c r="J30" s="75" t="e">
        <v>#N/A</v>
      </c>
      <c r="K30" s="75">
        <v>3.1599948128612181</v>
      </c>
      <c r="L30" s="75">
        <v>2.4322979588863647</v>
      </c>
      <c r="M30" s="75">
        <v>1.7829167555144372</v>
      </c>
      <c r="N30" s="75">
        <v>1.2291885966123526</v>
      </c>
      <c r="O30" s="75">
        <v>0.7836387870810142</v>
      </c>
      <c r="P30" s="75">
        <v>0.45101049191002296</v>
      </c>
      <c r="Q30" s="75">
        <v>0.22602791971422756</v>
      </c>
      <c r="R30" s="75">
        <v>9.2984275568689795E-2</v>
      </c>
      <c r="S30" s="75">
        <v>2.8093511362990087E-2</v>
      </c>
      <c r="T30" s="75">
        <v>4.7120465013496876E-3</v>
      </c>
      <c r="U30" s="75">
        <v>9.4493344804186059E-17</v>
      </c>
      <c r="V30" s="75">
        <v>0</v>
      </c>
      <c r="W30" s="75">
        <v>0</v>
      </c>
      <c r="X30" s="75">
        <v>0</v>
      </c>
      <c r="Y30" s="75">
        <v>0</v>
      </c>
      <c r="Z30" s="75">
        <v>0</v>
      </c>
      <c r="AA30" s="75">
        <v>0</v>
      </c>
      <c r="AB30" s="75">
        <v>0</v>
      </c>
      <c r="AC30" s="40">
        <v>0</v>
      </c>
      <c r="AD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1:52" x14ac:dyDescent="0.25">
      <c r="E31" s="28">
        <v>670</v>
      </c>
      <c r="F31" s="79">
        <v>1.9933124913935369</v>
      </c>
      <c r="G31" s="40">
        <v>8.592359995756027E-4</v>
      </c>
      <c r="I31" s="39" t="e">
        <v>#N/A</v>
      </c>
      <c r="J31" s="75" t="e">
        <v>#N/A</v>
      </c>
      <c r="K31" s="75" t="e">
        <v>#N/A</v>
      </c>
      <c r="L31" s="75">
        <v>3.8978168842964172</v>
      </c>
      <c r="M31" s="75">
        <v>3.0899047206495198</v>
      </c>
      <c r="N31" s="75">
        <v>2.3430505528385805</v>
      </c>
      <c r="O31" s="75">
        <v>1.679463382579117</v>
      </c>
      <c r="P31" s="75">
        <v>1.1195144928972371</v>
      </c>
      <c r="Q31" s="75">
        <v>0.67802440759580951</v>
      </c>
      <c r="R31" s="75">
        <v>0.36018779963035774</v>
      </c>
      <c r="S31" s="75">
        <v>0.15838340883125174</v>
      </c>
      <c r="T31" s="75">
        <v>5.1646845765320686E-2</v>
      </c>
      <c r="U31" s="75">
        <v>9.4567453798511357E-3</v>
      </c>
      <c r="V31" s="75">
        <v>1.896414862730491E-16</v>
      </c>
      <c r="W31" s="75">
        <v>0</v>
      </c>
      <c r="X31" s="75">
        <v>0</v>
      </c>
      <c r="Y31" s="75">
        <v>0</v>
      </c>
      <c r="Z31" s="75">
        <v>0</v>
      </c>
      <c r="AA31" s="75">
        <v>0</v>
      </c>
      <c r="AB31" s="75">
        <v>0</v>
      </c>
      <c r="AC31" s="40">
        <v>0</v>
      </c>
      <c r="AD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1:52" x14ac:dyDescent="0.25">
      <c r="E32" s="28">
        <v>695</v>
      </c>
      <c r="F32" s="79">
        <v>1.9949763455892577</v>
      </c>
      <c r="G32" s="40">
        <v>-8.0461819614519037E-4</v>
      </c>
      <c r="I32" s="39" t="e">
        <v>#N/A</v>
      </c>
      <c r="J32" s="75" t="e">
        <v>#N/A</v>
      </c>
      <c r="K32" s="75" t="e">
        <v>#N/A</v>
      </c>
      <c r="L32" s="75" t="e">
        <v>#N/A</v>
      </c>
      <c r="M32" s="75">
        <v>4.7177842766369862</v>
      </c>
      <c r="N32" s="75">
        <v>3.8468303634689267</v>
      </c>
      <c r="O32" s="75">
        <v>3.0147455431970971</v>
      </c>
      <c r="P32" s="75">
        <v>2.2456318392449179</v>
      </c>
      <c r="Q32" s="75">
        <v>1.5654807275580245</v>
      </c>
      <c r="R32" s="75">
        <v>0.99881614057834101</v>
      </c>
      <c r="S32" s="75">
        <v>0.56372156746190127</v>
      </c>
      <c r="T32" s="75">
        <v>0.26596753140532237</v>
      </c>
      <c r="U32" s="75">
        <v>9.414906579916156E-2</v>
      </c>
      <c r="V32" s="75">
        <v>1.8979021780392034E-2</v>
      </c>
      <c r="W32" s="75">
        <v>3.8059710332380862E-16</v>
      </c>
      <c r="X32" s="75">
        <v>0</v>
      </c>
      <c r="Y32" s="75">
        <v>0</v>
      </c>
      <c r="Z32" s="75">
        <v>0</v>
      </c>
      <c r="AA32" s="75">
        <v>0</v>
      </c>
      <c r="AB32" s="75">
        <v>0</v>
      </c>
      <c r="AC32" s="40">
        <v>0</v>
      </c>
      <c r="AD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5:52" x14ac:dyDescent="0.25">
      <c r="E33" s="28">
        <v>720</v>
      </c>
      <c r="F33" s="79">
        <v>1.9933721501627166</v>
      </c>
      <c r="G33" s="40">
        <v>7.9957723039592032E-4</v>
      </c>
      <c r="I33" s="39" t="e">
        <v>#N/A</v>
      </c>
      <c r="J33" s="75" t="e">
        <v>#N/A</v>
      </c>
      <c r="K33" s="75" t="e">
        <v>#N/A</v>
      </c>
      <c r="L33" s="75" t="e">
        <v>#N/A</v>
      </c>
      <c r="M33" s="75" t="e">
        <v>#N/A</v>
      </c>
      <c r="N33" s="75">
        <v>5.6028119643694279</v>
      </c>
      <c r="O33" s="75">
        <v>4.6909808632559367</v>
      </c>
      <c r="P33" s="75">
        <v>3.793881401709204</v>
      </c>
      <c r="Q33" s="75">
        <v>2.9337673701426086</v>
      </c>
      <c r="R33" s="75">
        <v>2.1381592033771133</v>
      </c>
      <c r="S33" s="75">
        <v>1.4381036943409724</v>
      </c>
      <c r="T33" s="75">
        <v>0.86409467976268384</v>
      </c>
      <c r="U33" s="75">
        <v>0.43917335895306669</v>
      </c>
      <c r="V33" s="75">
        <v>0.16987966377861266</v>
      </c>
      <c r="W33" s="75">
        <v>3.8089559702861056E-2</v>
      </c>
      <c r="X33" s="75">
        <v>7.6383157454224082E-16</v>
      </c>
      <c r="Y33" s="75">
        <v>0</v>
      </c>
      <c r="Z33" s="75">
        <v>0</v>
      </c>
      <c r="AA33" s="75">
        <v>0</v>
      </c>
      <c r="AB33" s="75">
        <v>0</v>
      </c>
      <c r="AC33" s="40">
        <v>0</v>
      </c>
      <c r="AD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5:52" x14ac:dyDescent="0.25">
      <c r="E34" s="29">
        <v>745</v>
      </c>
      <c r="F34" s="80">
        <v>1.994922335612795</v>
      </c>
      <c r="G34" s="43">
        <v>-7.5060821968242486E-4</v>
      </c>
      <c r="I34" s="39" t="e">
        <v>#N/A</v>
      </c>
      <c r="J34" s="75" t="e">
        <v>#N/A</v>
      </c>
      <c r="K34" s="75" t="e">
        <v>#N/A</v>
      </c>
      <c r="L34" s="75" t="e">
        <v>#N/A</v>
      </c>
      <c r="M34" s="75" t="e">
        <v>#N/A</v>
      </c>
      <c r="N34" s="75" t="e">
        <v>#N/A</v>
      </c>
      <c r="O34" s="75">
        <v>6.5307640631068233</v>
      </c>
      <c r="P34" s="75">
        <v>5.6022246325853065</v>
      </c>
      <c r="Q34" s="75">
        <v>4.6660861282642783</v>
      </c>
      <c r="R34" s="75">
        <v>3.7393567081893941</v>
      </c>
      <c r="S34" s="75">
        <v>2.8460708893053051</v>
      </c>
      <c r="T34" s="75">
        <v>2.0178959733227191</v>
      </c>
      <c r="U34" s="75">
        <v>1.2928782254224371</v>
      </c>
      <c r="V34" s="75">
        <v>0.71068812481044397</v>
      </c>
      <c r="W34" s="75">
        <v>0.30266260749416779</v>
      </c>
      <c r="X34" s="75">
        <v>7.6443063037985953E-2</v>
      </c>
      <c r="Y34" s="75">
        <v>1.5329561606549968E-15</v>
      </c>
      <c r="Z34" s="75">
        <v>0</v>
      </c>
      <c r="AA34" s="75">
        <v>0</v>
      </c>
      <c r="AB34" s="75">
        <v>0</v>
      </c>
      <c r="AC34" s="40">
        <v>0</v>
      </c>
      <c r="AD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5:52" x14ac:dyDescent="0.25">
      <c r="I35" s="39" t="e">
        <v>#N/A</v>
      </c>
      <c r="J35" s="75" t="e">
        <v>#N/A</v>
      </c>
      <c r="K35" s="75" t="e">
        <v>#N/A</v>
      </c>
      <c r="L35" s="75" t="e">
        <v>#N/A</v>
      </c>
      <c r="M35" s="75" t="e">
        <v>#N/A</v>
      </c>
      <c r="N35" s="75" t="e">
        <v>#N/A</v>
      </c>
      <c r="O35" s="75" t="e">
        <v>#N/A</v>
      </c>
      <c r="P35" s="75">
        <v>7.4774444350442533</v>
      </c>
      <c r="Q35" s="75">
        <v>6.5546005531841782</v>
      </c>
      <c r="R35" s="75">
        <v>5.6070512420490033</v>
      </c>
      <c r="S35" s="75">
        <v>4.6447798345105733</v>
      </c>
      <c r="T35" s="75">
        <v>3.6842013439101735</v>
      </c>
      <c r="U35" s="75">
        <v>2.7506394077474918</v>
      </c>
      <c r="V35" s="75">
        <v>1.8805877187334317</v>
      </c>
      <c r="W35" s="75">
        <v>1.1221735296129123</v>
      </c>
      <c r="X35" s="75">
        <v>0.53060949006598568</v>
      </c>
      <c r="Y35" s="75">
        <v>0.1534158423519546</v>
      </c>
      <c r="Z35" s="75">
        <v>3.0765350226565595E-15</v>
      </c>
      <c r="AA35" s="75">
        <v>0</v>
      </c>
      <c r="AB35" s="75">
        <v>0</v>
      </c>
      <c r="AC35" s="40">
        <v>0</v>
      </c>
      <c r="AD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5:52" x14ac:dyDescent="0.25">
      <c r="I36" s="39" t="e">
        <v>#N/A</v>
      </c>
      <c r="J36" s="75" t="e">
        <v>#N/A</v>
      </c>
      <c r="K36" s="75" t="e">
        <v>#N/A</v>
      </c>
      <c r="L36" s="75" t="e">
        <v>#N/A</v>
      </c>
      <c r="M36" s="75" t="e">
        <v>#N/A</v>
      </c>
      <c r="N36" s="75" t="e">
        <v>#N/A</v>
      </c>
      <c r="O36" s="75" t="e">
        <v>#N/A</v>
      </c>
      <c r="P36" s="75" t="e">
        <v>#N/A</v>
      </c>
      <c r="Q36" s="75">
        <v>8.4203799042331458</v>
      </c>
      <c r="R36" s="75">
        <v>7.5204326215443507</v>
      </c>
      <c r="S36" s="75">
        <v>6.5856966329340567</v>
      </c>
      <c r="T36" s="75">
        <v>5.6197133234405836</v>
      </c>
      <c r="U36" s="75">
        <v>4.6299802664999445</v>
      </c>
      <c r="V36" s="75">
        <v>3.6306498992319574</v>
      </c>
      <c r="W36" s="75">
        <v>2.6466023071023121</v>
      </c>
      <c r="X36" s="75">
        <v>1.7189456213076661</v>
      </c>
      <c r="Y36" s="75">
        <v>0.91073750363076411</v>
      </c>
      <c r="Z36" s="75">
        <v>0.30789478795301684</v>
      </c>
      <c r="AA36" s="75">
        <v>6.1743890585809007E-15</v>
      </c>
      <c r="AB36" s="75">
        <v>0</v>
      </c>
      <c r="AC36" s="40">
        <v>0</v>
      </c>
      <c r="AD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5:52" x14ac:dyDescent="0.25">
      <c r="I37" s="39" t="e">
        <v>#N/A</v>
      </c>
      <c r="J37" s="75" t="e">
        <v>#N/A</v>
      </c>
      <c r="K37" s="75" t="e">
        <v>#N/A</v>
      </c>
      <c r="L37" s="75" t="e">
        <v>#N/A</v>
      </c>
      <c r="M37" s="75" t="e">
        <v>#N/A</v>
      </c>
      <c r="N37" s="75" t="e">
        <v>#N/A</v>
      </c>
      <c r="O37" s="75" t="e">
        <v>#N/A</v>
      </c>
      <c r="P37" s="75" t="e">
        <v>#N/A</v>
      </c>
      <c r="Q37" s="75" t="e">
        <v>#N/A</v>
      </c>
      <c r="R37" s="75">
        <v>9.3422783429414178</v>
      </c>
      <c r="S37" s="75">
        <v>8.4754075837789475</v>
      </c>
      <c r="T37" s="75">
        <v>7.5701168980939153</v>
      </c>
      <c r="U37" s="75">
        <v>6.6259797350649281</v>
      </c>
      <c r="V37" s="75">
        <v>5.643822262572451</v>
      </c>
      <c r="W37" s="75">
        <v>4.627046921758847</v>
      </c>
      <c r="X37" s="75">
        <v>3.5842792000457244</v>
      </c>
      <c r="Y37" s="75">
        <v>2.5346573647993558</v>
      </c>
      <c r="Z37" s="75">
        <v>1.5184010362674341</v>
      </c>
      <c r="AA37" s="75">
        <v>0.61792314923482483</v>
      </c>
      <c r="AB37" s="75">
        <v>1.2391563874935059E-14</v>
      </c>
      <c r="AC37" s="40">
        <v>0</v>
      </c>
      <c r="AD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5:52" x14ac:dyDescent="0.25">
      <c r="I38" s="39" t="e">
        <v>#N/A</v>
      </c>
      <c r="J38" s="75" t="e">
        <v>#N/A</v>
      </c>
      <c r="K38" s="75" t="e">
        <v>#N/A</v>
      </c>
      <c r="L38" s="75" t="e">
        <v>#N/A</v>
      </c>
      <c r="M38" s="75" t="e">
        <v>#N/A</v>
      </c>
      <c r="N38" s="75" t="e">
        <v>#N/A</v>
      </c>
      <c r="O38" s="75" t="e">
        <v>#N/A</v>
      </c>
      <c r="P38" s="75" t="e">
        <v>#N/A</v>
      </c>
      <c r="Q38" s="75" t="e">
        <v>#N/A</v>
      </c>
      <c r="R38" s="75" t="e">
        <v>#N/A</v>
      </c>
      <c r="S38" s="75">
        <v>10.232866597148865</v>
      </c>
      <c r="T38" s="75">
        <v>9.4027902746456373</v>
      </c>
      <c r="U38" s="75">
        <v>8.5346423574742136</v>
      </c>
      <c r="V38" s="75">
        <v>7.6267366217157724</v>
      </c>
      <c r="W38" s="75">
        <v>6.677312219410017</v>
      </c>
      <c r="X38" s="75">
        <v>5.6845303761220647</v>
      </c>
      <c r="Y38" s="75">
        <v>4.6464709423625905</v>
      </c>
      <c r="Z38" s="75">
        <v>3.5611287923936419</v>
      </c>
      <c r="AA38" s="75">
        <v>2.4264100636662653</v>
      </c>
      <c r="AB38" s="75">
        <v>1.2401282298372287</v>
      </c>
      <c r="AC38" s="40">
        <v>2.4868995751603507E-14</v>
      </c>
      <c r="AD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5:52" x14ac:dyDescent="0.25">
      <c r="I39" s="39" t="e">
        <v>#N/A</v>
      </c>
      <c r="J39" s="75" t="e">
        <v>#N/A</v>
      </c>
      <c r="K39" s="75" t="e">
        <v>#N/A</v>
      </c>
      <c r="L39" s="75" t="e">
        <v>#N/A</v>
      </c>
      <c r="M39" s="75" t="e">
        <v>#N/A</v>
      </c>
      <c r="N39" s="75" t="e">
        <v>#N/A</v>
      </c>
      <c r="O39" s="75" t="e">
        <v>#N/A</v>
      </c>
      <c r="P39" s="75" t="e">
        <v>#N/A</v>
      </c>
      <c r="Q39" s="75" t="e">
        <v>#N/A</v>
      </c>
      <c r="R39" s="75" t="e">
        <v>#N/A</v>
      </c>
      <c r="S39" s="75" t="e">
        <v>#N/A</v>
      </c>
      <c r="T39" s="75">
        <v>11.088343332600983</v>
      </c>
      <c r="U39" s="75">
        <v>10.294788315770665</v>
      </c>
      <c r="V39" s="75">
        <v>9.4647765338295393</v>
      </c>
      <c r="W39" s="75">
        <v>8.5966932244903838</v>
      </c>
      <c r="X39" s="75">
        <v>7.6888521639044862</v>
      </c>
      <c r="Y39" s="75">
        <v>6.7394925041817437</v>
      </c>
      <c r="Z39" s="75">
        <v>5.7467754709575321</v>
      </c>
      <c r="AA39" s="75">
        <v>4.7087809148128628</v>
      </c>
      <c r="AB39" s="75">
        <v>3.6235037100801915</v>
      </c>
      <c r="AC39" s="40">
        <v>2.4888499942810434</v>
      </c>
      <c r="AD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5:52" x14ac:dyDescent="0.25">
      <c r="I40" s="39" t="e">
        <v>#N/A</v>
      </c>
      <c r="J40" s="75" t="e">
        <v>#N/A</v>
      </c>
      <c r="K40" s="75" t="e">
        <v>#N/A</v>
      </c>
      <c r="L40" s="75" t="e">
        <v>#N/A</v>
      </c>
      <c r="M40" s="75" t="e">
        <v>#N/A</v>
      </c>
      <c r="N40" s="75" t="e">
        <v>#N/A</v>
      </c>
      <c r="O40" s="75" t="e">
        <v>#N/A</v>
      </c>
      <c r="P40" s="75" t="e">
        <v>#N/A</v>
      </c>
      <c r="Q40" s="75" t="e">
        <v>#N/A</v>
      </c>
      <c r="R40" s="75" t="e">
        <v>#N/A</v>
      </c>
      <c r="S40" s="75" t="e">
        <v>#N/A</v>
      </c>
      <c r="T40" s="75" t="e">
        <v>#N/A</v>
      </c>
      <c r="U40" s="75">
        <v>11.908909632125791</v>
      </c>
      <c r="V40" s="75">
        <v>11.150329591784887</v>
      </c>
      <c r="W40" s="75">
        <v>10.356839182786835</v>
      </c>
      <c r="X40" s="75">
        <v>9.5268920760182549</v>
      </c>
      <c r="Y40" s="75">
        <v>8.6588735092621096</v>
      </c>
      <c r="Z40" s="75">
        <v>7.7510972587399536</v>
      </c>
      <c r="AA40" s="75">
        <v>6.801802476632016</v>
      </c>
      <c r="AB40" s="75">
        <v>5.8091503886440821</v>
      </c>
      <c r="AC40" s="40">
        <v>4.7712208454276421</v>
      </c>
      <c r="AD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5:52" x14ac:dyDescent="0.25">
      <c r="I41" s="39" t="e">
        <v>#N/A</v>
      </c>
      <c r="J41" s="75" t="e">
        <v>#N/A</v>
      </c>
      <c r="K41" s="75" t="e">
        <v>#N/A</v>
      </c>
      <c r="L41" s="75" t="e">
        <v>#N/A</v>
      </c>
      <c r="M41" s="75" t="e">
        <v>#N/A</v>
      </c>
      <c r="N41" s="75" t="e">
        <v>#N/A</v>
      </c>
      <c r="O41" s="75" t="e">
        <v>#N/A</v>
      </c>
      <c r="P41" s="75" t="e">
        <v>#N/A</v>
      </c>
      <c r="Q41" s="75" t="e">
        <v>#N/A</v>
      </c>
      <c r="R41" s="75" t="e">
        <v>#N/A</v>
      </c>
      <c r="S41" s="75" t="e">
        <v>#N/A</v>
      </c>
      <c r="T41" s="75" t="e">
        <v>#N/A</v>
      </c>
      <c r="U41" s="75" t="e">
        <v>#N/A</v>
      </c>
      <c r="V41" s="75">
        <v>12.696046359118482</v>
      </c>
      <c r="W41" s="75">
        <v>11.97096049914196</v>
      </c>
      <c r="X41" s="75">
        <v>11.212445133973603</v>
      </c>
      <c r="Y41" s="75">
        <v>10.419019467558565</v>
      </c>
      <c r="Z41" s="75">
        <v>9.589137170853725</v>
      </c>
      <c r="AA41" s="75">
        <v>8.7211834817123837</v>
      </c>
      <c r="AB41" s="75">
        <v>7.8134721764265036</v>
      </c>
      <c r="AC41" s="40">
        <v>6.8642424072467954</v>
      </c>
      <c r="AD41" s="6"/>
    </row>
    <row r="42" spans="5:52" x14ac:dyDescent="0.25">
      <c r="I42" s="39" t="e">
        <v>#N/A</v>
      </c>
      <c r="J42" s="75" t="e">
        <v>#N/A</v>
      </c>
      <c r="K42" s="75" t="e">
        <v>#N/A</v>
      </c>
      <c r="L42" s="75" t="e">
        <v>#N/A</v>
      </c>
      <c r="M42" s="75" t="e">
        <v>#N/A</v>
      </c>
      <c r="N42" s="75" t="e">
        <v>#N/A</v>
      </c>
      <c r="O42" s="75" t="e">
        <v>#N/A</v>
      </c>
      <c r="P42" s="75" t="e">
        <v>#N/A</v>
      </c>
      <c r="Q42" s="75" t="e">
        <v>#N/A</v>
      </c>
      <c r="R42" s="75" t="e">
        <v>#N/A</v>
      </c>
      <c r="S42" s="75" t="e">
        <v>#N/A</v>
      </c>
      <c r="T42" s="75" t="e">
        <v>#N/A</v>
      </c>
      <c r="U42" s="75" t="e">
        <v>#N/A</v>
      </c>
      <c r="V42" s="75" t="e">
        <v>#N/A</v>
      </c>
      <c r="W42" s="75">
        <v>13.451171621197769</v>
      </c>
      <c r="X42" s="75">
        <v>12.758161901307195</v>
      </c>
      <c r="Y42" s="75">
        <v>12.033140783913685</v>
      </c>
      <c r="Z42" s="75">
        <v>11.274690228809071</v>
      </c>
      <c r="AA42" s="75">
        <v>10.481329440008839</v>
      </c>
      <c r="AB42" s="75">
        <v>9.6515120885402759</v>
      </c>
      <c r="AC42" s="40">
        <v>8.783623412327163</v>
      </c>
      <c r="AD42" s="3"/>
    </row>
    <row r="43" spans="5:52" x14ac:dyDescent="0.25">
      <c r="I43" s="39" t="e">
        <v>#N/A</v>
      </c>
      <c r="J43" s="75" t="e">
        <v>#N/A</v>
      </c>
      <c r="K43" s="75" t="e">
        <v>#N/A</v>
      </c>
      <c r="L43" s="75" t="e">
        <v>#N/A</v>
      </c>
      <c r="M43" s="75" t="e">
        <v>#N/A</v>
      </c>
      <c r="N43" s="75" t="e">
        <v>#N/A</v>
      </c>
      <c r="O43" s="75" t="e">
        <v>#N/A</v>
      </c>
      <c r="P43" s="75" t="e">
        <v>#N/A</v>
      </c>
      <c r="Q43" s="75" t="e">
        <v>#N/A</v>
      </c>
      <c r="R43" s="75" t="e">
        <v>#N/A</v>
      </c>
      <c r="S43" s="75" t="e">
        <v>#N/A</v>
      </c>
      <c r="T43" s="75" t="e">
        <v>#N/A</v>
      </c>
      <c r="U43" s="75" t="e">
        <v>#N/A</v>
      </c>
      <c r="V43" s="75" t="e">
        <v>#N/A</v>
      </c>
      <c r="W43" s="75" t="e">
        <v>#N/A</v>
      </c>
      <c r="X43" s="75">
        <v>14.175643429722845</v>
      </c>
      <c r="Y43" s="75">
        <v>13.513351905969495</v>
      </c>
      <c r="Z43" s="75">
        <v>12.820406996142664</v>
      </c>
      <c r="AA43" s="75">
        <v>12.095450756363959</v>
      </c>
      <c r="AB43" s="75">
        <v>11.337065146495622</v>
      </c>
      <c r="AC43" s="40">
        <v>10.543769370623618</v>
      </c>
      <c r="AD43" s="3"/>
    </row>
    <row r="44" spans="5:52" x14ac:dyDescent="0.25">
      <c r="I44" s="39" t="e">
        <v>#N/A</v>
      </c>
      <c r="J44" s="75" t="e">
        <v>#N/A</v>
      </c>
      <c r="K44" s="75" t="e">
        <v>#N/A</v>
      </c>
      <c r="L44" s="75" t="e">
        <v>#N/A</v>
      </c>
      <c r="M44" s="75" t="e">
        <v>#N/A</v>
      </c>
      <c r="N44" s="75" t="e">
        <v>#N/A</v>
      </c>
      <c r="O44" s="75" t="e">
        <v>#N/A</v>
      </c>
      <c r="P44" s="75" t="e">
        <v>#N/A</v>
      </c>
      <c r="Q44" s="75" t="e">
        <v>#N/A</v>
      </c>
      <c r="R44" s="75" t="e">
        <v>#N/A</v>
      </c>
      <c r="S44" s="75" t="e">
        <v>#N/A</v>
      </c>
      <c r="T44" s="75" t="e">
        <v>#N/A</v>
      </c>
      <c r="U44" s="75" t="e">
        <v>#N/A</v>
      </c>
      <c r="V44" s="75" t="e">
        <v>#N/A</v>
      </c>
      <c r="W44" s="75" t="e">
        <v>#N/A</v>
      </c>
      <c r="X44" s="75" t="e">
        <v>#N/A</v>
      </c>
      <c r="Y44" s="75">
        <v>14.870762246603196</v>
      </c>
      <c r="Z44" s="75">
        <v>14.237888524558313</v>
      </c>
      <c r="AA44" s="75">
        <v>13.575661878419769</v>
      </c>
      <c r="AB44" s="75">
        <v>12.882781913829215</v>
      </c>
      <c r="AC44" s="40">
        <v>12.157890686978739</v>
      </c>
      <c r="AD44" s="3"/>
    </row>
    <row r="45" spans="5:52" x14ac:dyDescent="0.25">
      <c r="I45" s="39" t="e">
        <v>#N/A</v>
      </c>
      <c r="J45" s="75" t="e">
        <v>#N/A</v>
      </c>
      <c r="K45" s="75" t="e">
        <v>#N/A</v>
      </c>
      <c r="L45" s="75" t="e">
        <v>#N/A</v>
      </c>
      <c r="M45" s="75" t="e">
        <v>#N/A</v>
      </c>
      <c r="N45" s="75" t="e">
        <v>#N/A</v>
      </c>
      <c r="O45" s="75" t="e">
        <v>#N/A</v>
      </c>
      <c r="P45" s="75" t="e">
        <v>#N/A</v>
      </c>
      <c r="Q45" s="75" t="e">
        <v>#N/A</v>
      </c>
      <c r="R45" s="75" t="e">
        <v>#N/A</v>
      </c>
      <c r="S45" s="75" t="e">
        <v>#N/A</v>
      </c>
      <c r="T45" s="75" t="e">
        <v>#N/A</v>
      </c>
      <c r="U45" s="75" t="e">
        <v>#N/A</v>
      </c>
      <c r="V45" s="75" t="e">
        <v>#N/A</v>
      </c>
      <c r="W45" s="75" t="e">
        <v>#N/A</v>
      </c>
      <c r="X45" s="75" t="e">
        <v>#N/A</v>
      </c>
      <c r="Y45" s="75" t="e">
        <v>#N/A</v>
      </c>
      <c r="Z45" s="75">
        <v>15.537773423177608</v>
      </c>
      <c r="AA45" s="75">
        <v>14.93307221905347</v>
      </c>
      <c r="AB45" s="75">
        <v>14.300263442244866</v>
      </c>
      <c r="AC45" s="40">
        <v>13.638101809034548</v>
      </c>
      <c r="AD45" s="3"/>
    </row>
    <row r="46" spans="5:52" x14ac:dyDescent="0.25">
      <c r="I46" s="39" t="e">
        <v>#N/A</v>
      </c>
      <c r="J46" s="75" t="e">
        <v>#N/A</v>
      </c>
      <c r="K46" s="75" t="e">
        <v>#N/A</v>
      </c>
      <c r="L46" s="75" t="e">
        <v>#N/A</v>
      </c>
      <c r="M46" s="75" t="e">
        <v>#N/A</v>
      </c>
      <c r="N46" s="75" t="e">
        <v>#N/A</v>
      </c>
      <c r="O46" s="75" t="e">
        <v>#N/A</v>
      </c>
      <c r="P46" s="75" t="e">
        <v>#N/A</v>
      </c>
      <c r="Q46" s="75" t="e">
        <v>#N/A</v>
      </c>
      <c r="R46" s="75" t="e">
        <v>#N/A</v>
      </c>
      <c r="S46" s="75" t="e">
        <v>#N/A</v>
      </c>
      <c r="T46" s="75" t="e">
        <v>#N/A</v>
      </c>
      <c r="U46" s="75" t="e">
        <v>#N/A</v>
      </c>
      <c r="V46" s="75" t="e">
        <v>#N/A</v>
      </c>
      <c r="W46" s="75" t="e">
        <v>#N/A</v>
      </c>
      <c r="X46" s="75" t="e">
        <v>#N/A</v>
      </c>
      <c r="Y46" s="75" t="e">
        <v>#N/A</v>
      </c>
      <c r="Z46" s="75" t="e">
        <v>#N/A</v>
      </c>
      <c r="AA46" s="75">
        <v>16.177869535736399</v>
      </c>
      <c r="AB46" s="75">
        <v>15.600148340864159</v>
      </c>
      <c r="AC46" s="40">
        <v>14.995512149668253</v>
      </c>
      <c r="AD46" s="3"/>
    </row>
    <row r="47" spans="5:52" x14ac:dyDescent="0.25">
      <c r="I47" s="39" t="e">
        <v>#N/A</v>
      </c>
      <c r="J47" s="75" t="e">
        <v>#N/A</v>
      </c>
      <c r="K47" s="75" t="e">
        <v>#N/A</v>
      </c>
      <c r="L47" s="75" t="e">
        <v>#N/A</v>
      </c>
      <c r="M47" s="75" t="e">
        <v>#N/A</v>
      </c>
      <c r="N47" s="75" t="e">
        <v>#N/A</v>
      </c>
      <c r="O47" s="75" t="e">
        <v>#N/A</v>
      </c>
      <c r="P47" s="75" t="e">
        <v>#N/A</v>
      </c>
      <c r="Q47" s="75" t="e">
        <v>#N/A</v>
      </c>
      <c r="R47" s="75" t="e">
        <v>#N/A</v>
      </c>
      <c r="S47" s="75" t="e">
        <v>#N/A</v>
      </c>
      <c r="T47" s="75" t="e">
        <v>#N/A</v>
      </c>
      <c r="U47" s="75" t="e">
        <v>#N/A</v>
      </c>
      <c r="V47" s="75" t="e">
        <v>#N/A</v>
      </c>
      <c r="W47" s="75" t="e">
        <v>#N/A</v>
      </c>
      <c r="X47" s="75" t="e">
        <v>#N/A</v>
      </c>
      <c r="Y47" s="75" t="e">
        <v>#N/A</v>
      </c>
      <c r="Z47" s="75" t="e">
        <v>#N/A</v>
      </c>
      <c r="AA47" s="75" t="e">
        <v>#N/A</v>
      </c>
      <c r="AB47" s="75">
        <v>16.792192622066967</v>
      </c>
      <c r="AC47" s="40">
        <v>16.240309466351178</v>
      </c>
      <c r="AD47" s="3"/>
    </row>
    <row r="48" spans="5:52" x14ac:dyDescent="0.25">
      <c r="I48" s="41" t="e">
        <v>#N/A</v>
      </c>
      <c r="J48" s="42" t="e">
        <v>#N/A</v>
      </c>
      <c r="K48" s="42" t="e">
        <v>#N/A</v>
      </c>
      <c r="L48" s="42" t="e">
        <v>#N/A</v>
      </c>
      <c r="M48" s="42" t="e">
        <v>#N/A</v>
      </c>
      <c r="N48" s="42" t="e">
        <v>#N/A</v>
      </c>
      <c r="O48" s="42" t="e">
        <v>#N/A</v>
      </c>
      <c r="P48" s="42" t="e">
        <v>#N/A</v>
      </c>
      <c r="Q48" s="42" t="e">
        <v>#N/A</v>
      </c>
      <c r="R48" s="42" t="e">
        <v>#N/A</v>
      </c>
      <c r="S48" s="42" t="e">
        <v>#N/A</v>
      </c>
      <c r="T48" s="42" t="e">
        <v>#N/A</v>
      </c>
      <c r="U48" s="42" t="e">
        <v>#N/A</v>
      </c>
      <c r="V48" s="42" t="e">
        <v>#N/A</v>
      </c>
      <c r="W48" s="42" t="e">
        <v>#N/A</v>
      </c>
      <c r="X48" s="42" t="e">
        <v>#N/A</v>
      </c>
      <c r="Y48" s="42" t="e">
        <v>#N/A</v>
      </c>
      <c r="Z48" s="42" t="e">
        <v>#N/A</v>
      </c>
      <c r="AA48" s="42" t="e">
        <v>#N/A</v>
      </c>
      <c r="AB48" s="42" t="e">
        <v>#N/A</v>
      </c>
      <c r="AC48" s="43">
        <v>17.381836323217197</v>
      </c>
      <c r="AD48" s="3"/>
    </row>
    <row r="49" spans="9:30" x14ac:dyDescent="0.25">
      <c r="AD49" s="3"/>
    </row>
    <row r="50" spans="9:30" x14ac:dyDescent="0.25">
      <c r="AD50" s="3"/>
    </row>
    <row r="51" spans="9:30" x14ac:dyDescent="0.25">
      <c r="AD51" s="3"/>
    </row>
    <row r="52" spans="9:30" x14ac:dyDescent="0.25">
      <c r="I52" s="11"/>
      <c r="AD52" s="3"/>
    </row>
    <row r="53" spans="9:30" x14ac:dyDescent="0.25">
      <c r="AD53" s="3"/>
    </row>
    <row r="54" spans="9:30" x14ac:dyDescent="0.25">
      <c r="AD54" s="3"/>
    </row>
    <row r="55" spans="9:30" x14ac:dyDescent="0.25">
      <c r="AD55" s="3"/>
    </row>
    <row r="56" spans="9:30" x14ac:dyDescent="0.25">
      <c r="AD56" s="3"/>
    </row>
    <row r="57" spans="9:30" x14ac:dyDescent="0.25">
      <c r="I57" s="11"/>
      <c r="AD57" s="3"/>
    </row>
    <row r="58" spans="9:30" x14ac:dyDescent="0.25">
      <c r="AD58" s="3"/>
    </row>
    <row r="59" spans="9:30" x14ac:dyDescent="0.25">
      <c r="AD59" s="3"/>
    </row>
    <row r="60" spans="9:30" x14ac:dyDescent="0.25">
      <c r="AD60" s="3"/>
    </row>
    <row r="61" spans="9:30" x14ac:dyDescent="0.25">
      <c r="AD61" s="3"/>
    </row>
    <row r="62" spans="9:30" x14ac:dyDescent="0.25">
      <c r="AD62" s="3"/>
    </row>
    <row r="66" spans="5:8" x14ac:dyDescent="0.25">
      <c r="E66" s="12"/>
      <c r="F66" s="12"/>
      <c r="G66" s="12"/>
      <c r="H66" s="12"/>
    </row>
    <row r="67" spans="5:8" x14ac:dyDescent="0.25">
      <c r="E67" s="12"/>
      <c r="F67" s="12"/>
      <c r="G67" s="12"/>
      <c r="H67" s="12"/>
    </row>
    <row r="68" spans="5:8" x14ac:dyDescent="0.25">
      <c r="E68" s="12"/>
      <c r="F68" s="12"/>
      <c r="G68" s="12"/>
      <c r="H68" s="12"/>
    </row>
    <row r="69" spans="5:8" x14ac:dyDescent="0.25">
      <c r="E69" s="12"/>
      <c r="F69" s="12"/>
      <c r="G69" s="12"/>
      <c r="H69" s="12"/>
    </row>
    <row r="70" spans="5:8" x14ac:dyDescent="0.25">
      <c r="E70" s="12"/>
      <c r="F70" s="12"/>
      <c r="G70" s="12"/>
      <c r="H70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I4" sqref="I4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55</v>
      </c>
      <c r="C1" t="s">
        <v>55</v>
      </c>
    </row>
    <row r="2" spans="1:3" x14ac:dyDescent="0.25">
      <c r="A2" s="16">
        <v>36892</v>
      </c>
      <c r="C2" s="16">
        <v>36892</v>
      </c>
    </row>
    <row r="3" spans="1:3" x14ac:dyDescent="0.25">
      <c r="A3" s="16">
        <v>36916</v>
      </c>
      <c r="C3" s="16">
        <v>36948</v>
      </c>
    </row>
    <row r="4" spans="1:3" x14ac:dyDescent="0.25">
      <c r="A4" s="16">
        <v>36948</v>
      </c>
      <c r="C4" s="16">
        <v>36949</v>
      </c>
    </row>
    <row r="5" spans="1:3" x14ac:dyDescent="0.25">
      <c r="A5" s="16">
        <v>36949</v>
      </c>
      <c r="C5" s="16">
        <v>36994</v>
      </c>
    </row>
    <row r="6" spans="1:3" x14ac:dyDescent="0.25">
      <c r="A6" s="16">
        <v>36994</v>
      </c>
      <c r="C6" s="16">
        <v>37002</v>
      </c>
    </row>
    <row r="7" spans="1:3" x14ac:dyDescent="0.25">
      <c r="A7" s="16">
        <v>37002</v>
      </c>
      <c r="C7" s="16">
        <v>37012</v>
      </c>
    </row>
    <row r="8" spans="1:3" x14ac:dyDescent="0.25">
      <c r="A8" s="16">
        <v>37012</v>
      </c>
      <c r="C8" s="16">
        <v>37056</v>
      </c>
    </row>
    <row r="9" spans="1:3" x14ac:dyDescent="0.25">
      <c r="A9" s="16">
        <v>37056</v>
      </c>
      <c r="C9" s="16">
        <v>37141</v>
      </c>
    </row>
    <row r="10" spans="1:3" x14ac:dyDescent="0.25">
      <c r="A10" s="16">
        <v>37081</v>
      </c>
      <c r="C10" s="16">
        <v>37176</v>
      </c>
    </row>
    <row r="11" spans="1:3" x14ac:dyDescent="0.25">
      <c r="A11" s="16">
        <v>37141</v>
      </c>
      <c r="C11" s="16">
        <v>37197</v>
      </c>
    </row>
    <row r="12" spans="1:3" x14ac:dyDescent="0.25">
      <c r="A12" s="16">
        <v>37176</v>
      </c>
      <c r="C12" s="16">
        <v>37210</v>
      </c>
    </row>
    <row r="13" spans="1:3" x14ac:dyDescent="0.25">
      <c r="A13" s="16">
        <v>37197</v>
      </c>
      <c r="C13" s="16">
        <v>37250</v>
      </c>
    </row>
    <row r="14" spans="1:3" x14ac:dyDescent="0.25">
      <c r="A14" s="16">
        <v>37210</v>
      </c>
      <c r="C14" s="16">
        <v>37257</v>
      </c>
    </row>
    <row r="15" spans="1:3" x14ac:dyDescent="0.25">
      <c r="A15" s="16">
        <v>37215</v>
      </c>
      <c r="C15" s="16">
        <v>37298</v>
      </c>
    </row>
    <row r="16" spans="1:3" x14ac:dyDescent="0.25">
      <c r="A16" s="16">
        <v>37249</v>
      </c>
      <c r="C16" s="16">
        <v>37299</v>
      </c>
    </row>
    <row r="17" spans="1:3" x14ac:dyDescent="0.25">
      <c r="A17" s="16">
        <v>37250</v>
      </c>
      <c r="C17" s="16">
        <v>37344</v>
      </c>
    </row>
    <row r="18" spans="1:3" x14ac:dyDescent="0.25">
      <c r="A18" s="16">
        <v>37256</v>
      </c>
      <c r="C18" s="16">
        <v>37367</v>
      </c>
    </row>
    <row r="19" spans="1:3" x14ac:dyDescent="0.25">
      <c r="A19" s="16">
        <v>37257</v>
      </c>
      <c r="C19" s="16">
        <v>37377</v>
      </c>
    </row>
    <row r="20" spans="1:3" x14ac:dyDescent="0.25">
      <c r="A20" s="16">
        <v>37281</v>
      </c>
      <c r="C20" s="16">
        <v>37406</v>
      </c>
    </row>
    <row r="21" spans="1:3" x14ac:dyDescent="0.25">
      <c r="A21" s="16">
        <v>37298</v>
      </c>
      <c r="C21" s="16">
        <v>37506</v>
      </c>
    </row>
    <row r="22" spans="1:3" x14ac:dyDescent="0.25">
      <c r="A22" s="16">
        <v>37299</v>
      </c>
      <c r="C22" s="16">
        <v>37541</v>
      </c>
    </row>
    <row r="23" spans="1:3" x14ac:dyDescent="0.25">
      <c r="A23" s="16">
        <v>37344</v>
      </c>
      <c r="C23" s="16">
        <v>37562</v>
      </c>
    </row>
    <row r="24" spans="1:3" x14ac:dyDescent="0.25">
      <c r="A24" s="16">
        <v>37367</v>
      </c>
      <c r="C24" s="16">
        <v>37575</v>
      </c>
    </row>
    <row r="25" spans="1:3" x14ac:dyDescent="0.25">
      <c r="A25" s="16">
        <v>37377</v>
      </c>
      <c r="C25" s="16">
        <v>37615</v>
      </c>
    </row>
    <row r="26" spans="1:3" x14ac:dyDescent="0.25">
      <c r="A26" s="16">
        <v>37406</v>
      </c>
      <c r="C26" s="16">
        <v>37622</v>
      </c>
    </row>
    <row r="27" spans="1:3" x14ac:dyDescent="0.25">
      <c r="A27" s="16">
        <v>37446</v>
      </c>
      <c r="C27" s="16">
        <v>37683</v>
      </c>
    </row>
    <row r="28" spans="1:3" x14ac:dyDescent="0.25">
      <c r="A28" s="16">
        <v>37506</v>
      </c>
      <c r="C28" s="16">
        <v>37684</v>
      </c>
    </row>
    <row r="29" spans="1:3" x14ac:dyDescent="0.25">
      <c r="A29" s="16">
        <v>37541</v>
      </c>
      <c r="C29" s="16">
        <v>37729</v>
      </c>
    </row>
    <row r="30" spans="1:3" x14ac:dyDescent="0.25">
      <c r="A30" s="16">
        <v>37562</v>
      </c>
      <c r="C30" s="16">
        <v>37732</v>
      </c>
    </row>
    <row r="31" spans="1:3" x14ac:dyDescent="0.25">
      <c r="A31" s="16">
        <v>37575</v>
      </c>
      <c r="C31" s="16">
        <v>37742</v>
      </c>
    </row>
    <row r="32" spans="1:3" x14ac:dyDescent="0.25">
      <c r="A32" s="16">
        <v>37580</v>
      </c>
      <c r="C32" s="16">
        <v>37791</v>
      </c>
    </row>
    <row r="33" spans="1:3" x14ac:dyDescent="0.25">
      <c r="A33" s="16">
        <v>37614</v>
      </c>
      <c r="C33" s="16">
        <v>37871</v>
      </c>
    </row>
    <row r="34" spans="1:3" x14ac:dyDescent="0.25">
      <c r="A34" s="16">
        <v>37615</v>
      </c>
      <c r="C34" s="16">
        <v>37906</v>
      </c>
    </row>
    <row r="35" spans="1:3" x14ac:dyDescent="0.25">
      <c r="A35" s="16">
        <v>37621</v>
      </c>
      <c r="C35" s="16">
        <v>37927</v>
      </c>
    </row>
    <row r="36" spans="1:3" x14ac:dyDescent="0.25">
      <c r="A36" s="16">
        <v>37622</v>
      </c>
      <c r="C36" s="16">
        <v>37940</v>
      </c>
    </row>
    <row r="37" spans="1:3" x14ac:dyDescent="0.25">
      <c r="A37" s="16">
        <v>37646</v>
      </c>
      <c r="C37" s="16">
        <v>37980</v>
      </c>
    </row>
    <row r="38" spans="1:3" x14ac:dyDescent="0.25">
      <c r="A38" s="16">
        <v>37683</v>
      </c>
      <c r="C38" s="16">
        <v>37987</v>
      </c>
    </row>
    <row r="39" spans="1:3" x14ac:dyDescent="0.25">
      <c r="A39" s="16">
        <v>37684</v>
      </c>
      <c r="C39" s="16">
        <v>38040</v>
      </c>
    </row>
    <row r="40" spans="1:3" x14ac:dyDescent="0.25">
      <c r="A40" s="16">
        <v>37729</v>
      </c>
      <c r="C40" s="16">
        <v>38041</v>
      </c>
    </row>
    <row r="41" spans="1:3" x14ac:dyDescent="0.25">
      <c r="A41" s="16">
        <v>37732</v>
      </c>
      <c r="C41" s="16">
        <v>38086</v>
      </c>
    </row>
    <row r="42" spans="1:3" x14ac:dyDescent="0.25">
      <c r="A42" s="16">
        <v>37742</v>
      </c>
      <c r="C42" s="16">
        <v>38098</v>
      </c>
    </row>
    <row r="43" spans="1:3" x14ac:dyDescent="0.25">
      <c r="A43" s="16">
        <v>37791</v>
      </c>
      <c r="C43" s="16">
        <v>38108</v>
      </c>
    </row>
    <row r="44" spans="1:3" x14ac:dyDescent="0.25">
      <c r="A44" s="16">
        <v>37811</v>
      </c>
      <c r="C44" s="16">
        <v>38148</v>
      </c>
    </row>
    <row r="45" spans="1:3" x14ac:dyDescent="0.25">
      <c r="A45" s="16">
        <v>37871</v>
      </c>
      <c r="C45" s="16">
        <v>38237</v>
      </c>
    </row>
    <row r="46" spans="1:3" x14ac:dyDescent="0.25">
      <c r="A46" s="16">
        <v>37906</v>
      </c>
      <c r="C46" s="16">
        <v>38272</v>
      </c>
    </row>
    <row r="47" spans="1:3" x14ac:dyDescent="0.25">
      <c r="A47" s="16">
        <v>37927</v>
      </c>
      <c r="C47" s="16">
        <v>38293</v>
      </c>
    </row>
    <row r="48" spans="1:3" x14ac:dyDescent="0.25">
      <c r="A48" s="16">
        <v>37940</v>
      </c>
      <c r="C48" s="16">
        <v>38306</v>
      </c>
    </row>
    <row r="49" spans="1:3" x14ac:dyDescent="0.25">
      <c r="A49" s="16">
        <v>37945</v>
      </c>
      <c r="C49" s="16">
        <v>38346</v>
      </c>
    </row>
    <row r="50" spans="1:3" x14ac:dyDescent="0.25">
      <c r="A50" s="16">
        <v>37979</v>
      </c>
      <c r="C50" s="16">
        <v>38353</v>
      </c>
    </row>
    <row r="51" spans="1:3" x14ac:dyDescent="0.25">
      <c r="A51" s="16">
        <v>37980</v>
      </c>
      <c r="C51" s="16">
        <v>38390</v>
      </c>
    </row>
    <row r="52" spans="1:3" x14ac:dyDescent="0.25">
      <c r="A52" s="16">
        <v>37986</v>
      </c>
      <c r="C52" s="16">
        <v>38391</v>
      </c>
    </row>
    <row r="53" spans="1:3" x14ac:dyDescent="0.25">
      <c r="A53" s="16">
        <v>37987</v>
      </c>
      <c r="C53" s="16">
        <v>38436</v>
      </c>
    </row>
    <row r="54" spans="1:3" x14ac:dyDescent="0.25">
      <c r="A54" s="16">
        <v>38011</v>
      </c>
      <c r="C54" s="16">
        <v>38463</v>
      </c>
    </row>
    <row r="55" spans="1:3" x14ac:dyDescent="0.25">
      <c r="A55" s="16">
        <v>38040</v>
      </c>
      <c r="C55" s="16">
        <v>38473</v>
      </c>
    </row>
    <row r="56" spans="1:3" x14ac:dyDescent="0.25">
      <c r="A56" s="16">
        <v>38041</v>
      </c>
      <c r="C56" s="16">
        <v>38498</v>
      </c>
    </row>
    <row r="57" spans="1:3" x14ac:dyDescent="0.25">
      <c r="A57" s="16">
        <v>38086</v>
      </c>
      <c r="C57" s="16">
        <v>38602</v>
      </c>
    </row>
    <row r="58" spans="1:3" x14ac:dyDescent="0.25">
      <c r="A58" s="16">
        <v>38098</v>
      </c>
      <c r="C58" s="16">
        <v>38637</v>
      </c>
    </row>
    <row r="59" spans="1:3" x14ac:dyDescent="0.25">
      <c r="A59" s="16">
        <v>38108</v>
      </c>
      <c r="C59" s="16">
        <v>38658</v>
      </c>
    </row>
    <row r="60" spans="1:3" x14ac:dyDescent="0.25">
      <c r="A60" s="16">
        <v>38148</v>
      </c>
      <c r="C60" s="16">
        <v>38671</v>
      </c>
    </row>
    <row r="61" spans="1:3" x14ac:dyDescent="0.25">
      <c r="A61" s="16">
        <v>38177</v>
      </c>
      <c r="C61" s="16">
        <v>38711</v>
      </c>
    </row>
    <row r="62" spans="1:3" x14ac:dyDescent="0.25">
      <c r="A62" s="16">
        <v>38237</v>
      </c>
      <c r="C62" s="16">
        <v>38718</v>
      </c>
    </row>
    <row r="63" spans="1:3" x14ac:dyDescent="0.25">
      <c r="A63" s="16">
        <v>38272</v>
      </c>
      <c r="C63" s="16">
        <v>38775</v>
      </c>
    </row>
    <row r="64" spans="1:3" x14ac:dyDescent="0.25">
      <c r="A64" s="16">
        <v>38293</v>
      </c>
      <c r="C64" s="16">
        <v>38776</v>
      </c>
    </row>
    <row r="65" spans="1:3" x14ac:dyDescent="0.25">
      <c r="A65" s="16">
        <v>38306</v>
      </c>
      <c r="C65" s="16">
        <v>38821</v>
      </c>
    </row>
    <row r="66" spans="1:3" x14ac:dyDescent="0.25">
      <c r="A66" s="16">
        <v>38311</v>
      </c>
      <c r="C66" s="16">
        <v>38828</v>
      </c>
    </row>
    <row r="67" spans="1:3" x14ac:dyDescent="0.25">
      <c r="A67" s="16">
        <v>38345</v>
      </c>
      <c r="C67" s="16">
        <v>38838</v>
      </c>
    </row>
    <row r="68" spans="1:3" x14ac:dyDescent="0.25">
      <c r="A68" s="16">
        <v>38346</v>
      </c>
      <c r="C68" s="16">
        <v>38883</v>
      </c>
    </row>
    <row r="69" spans="1:3" x14ac:dyDescent="0.25">
      <c r="A69" s="16">
        <v>38352</v>
      </c>
      <c r="C69" s="16">
        <v>38967</v>
      </c>
    </row>
    <row r="70" spans="1:3" x14ac:dyDescent="0.25">
      <c r="A70" s="16">
        <v>38353</v>
      </c>
      <c r="C70" s="16">
        <v>39002</v>
      </c>
    </row>
    <row r="71" spans="1:3" x14ac:dyDescent="0.25">
      <c r="A71" s="16">
        <v>38377</v>
      </c>
      <c r="C71" s="16">
        <v>39023</v>
      </c>
    </row>
    <row r="72" spans="1:3" x14ac:dyDescent="0.25">
      <c r="A72" s="16">
        <v>38390</v>
      </c>
      <c r="C72" s="16">
        <v>39036</v>
      </c>
    </row>
    <row r="73" spans="1:3" x14ac:dyDescent="0.25">
      <c r="A73" s="16">
        <v>38391</v>
      </c>
      <c r="C73" s="16">
        <v>39076</v>
      </c>
    </row>
    <row r="74" spans="1:3" x14ac:dyDescent="0.25">
      <c r="A74" s="16">
        <v>38436</v>
      </c>
      <c r="C74" s="16">
        <v>39083</v>
      </c>
    </row>
    <row r="75" spans="1:3" x14ac:dyDescent="0.25">
      <c r="A75" s="16">
        <v>38463</v>
      </c>
      <c r="C75" s="16">
        <v>39132</v>
      </c>
    </row>
    <row r="76" spans="1:3" x14ac:dyDescent="0.25">
      <c r="A76" s="16">
        <v>38473</v>
      </c>
      <c r="C76" s="16">
        <v>39133</v>
      </c>
    </row>
    <row r="77" spans="1:3" x14ac:dyDescent="0.25">
      <c r="A77" s="16">
        <v>38498</v>
      </c>
      <c r="C77" s="16">
        <v>39178</v>
      </c>
    </row>
    <row r="78" spans="1:3" x14ac:dyDescent="0.25">
      <c r="A78" s="16">
        <v>38542</v>
      </c>
      <c r="C78" s="16">
        <v>39193</v>
      </c>
    </row>
    <row r="79" spans="1:3" x14ac:dyDescent="0.25">
      <c r="A79" s="16">
        <v>38602</v>
      </c>
      <c r="C79" s="16">
        <v>39203</v>
      </c>
    </row>
    <row r="80" spans="1:3" x14ac:dyDescent="0.25">
      <c r="A80" s="16">
        <v>38637</v>
      </c>
      <c r="C80" s="16">
        <v>39240</v>
      </c>
    </row>
    <row r="81" spans="1:3" x14ac:dyDescent="0.25">
      <c r="A81" s="16">
        <v>38658</v>
      </c>
      <c r="C81" s="16">
        <v>39332</v>
      </c>
    </row>
    <row r="82" spans="1:3" x14ac:dyDescent="0.25">
      <c r="A82" s="16">
        <v>38671</v>
      </c>
      <c r="C82" s="16">
        <v>39367</v>
      </c>
    </row>
    <row r="83" spans="1:3" x14ac:dyDescent="0.25">
      <c r="A83" s="16">
        <v>38676</v>
      </c>
      <c r="C83" s="16">
        <v>39388</v>
      </c>
    </row>
    <row r="84" spans="1:3" x14ac:dyDescent="0.25">
      <c r="A84" s="16">
        <v>38710</v>
      </c>
      <c r="C84" s="16">
        <v>39401</v>
      </c>
    </row>
    <row r="85" spans="1:3" x14ac:dyDescent="0.25">
      <c r="A85" s="16">
        <v>38711</v>
      </c>
      <c r="C85" s="16">
        <v>39441</v>
      </c>
    </row>
    <row r="86" spans="1:3" x14ac:dyDescent="0.25">
      <c r="A86" s="16">
        <v>38717</v>
      </c>
      <c r="C86" s="16">
        <v>39448</v>
      </c>
    </row>
    <row r="87" spans="1:3" x14ac:dyDescent="0.25">
      <c r="A87" s="16">
        <v>38718</v>
      </c>
      <c r="C87" s="16">
        <v>39482</v>
      </c>
    </row>
    <row r="88" spans="1:3" x14ac:dyDescent="0.25">
      <c r="A88" s="16">
        <v>38742</v>
      </c>
      <c r="C88" s="16">
        <v>39483</v>
      </c>
    </row>
    <row r="89" spans="1:3" x14ac:dyDescent="0.25">
      <c r="A89" s="16">
        <v>38775</v>
      </c>
      <c r="C89" s="16">
        <v>39528</v>
      </c>
    </row>
    <row r="90" spans="1:3" x14ac:dyDescent="0.25">
      <c r="A90" s="16">
        <v>38776</v>
      </c>
      <c r="C90" s="16">
        <v>39559</v>
      </c>
    </row>
    <row r="91" spans="1:3" x14ac:dyDescent="0.25">
      <c r="A91" s="16">
        <v>38821</v>
      </c>
      <c r="C91" s="16">
        <v>39569</v>
      </c>
    </row>
    <row r="92" spans="1:3" x14ac:dyDescent="0.25">
      <c r="A92" s="16">
        <v>38828</v>
      </c>
      <c r="C92" s="16">
        <v>39590</v>
      </c>
    </row>
    <row r="93" spans="1:3" x14ac:dyDescent="0.25">
      <c r="A93" s="16">
        <v>38838</v>
      </c>
      <c r="C93" s="16">
        <v>39698</v>
      </c>
    </row>
    <row r="94" spans="1:3" x14ac:dyDescent="0.25">
      <c r="A94" s="16">
        <v>38883</v>
      </c>
      <c r="C94" s="16">
        <v>39733</v>
      </c>
    </row>
    <row r="95" spans="1:3" x14ac:dyDescent="0.25">
      <c r="A95" s="16">
        <v>38907</v>
      </c>
      <c r="C95" s="16">
        <v>39754</v>
      </c>
    </row>
    <row r="96" spans="1:3" x14ac:dyDescent="0.25">
      <c r="A96" s="16">
        <v>38967</v>
      </c>
      <c r="C96" s="16">
        <v>39767</v>
      </c>
    </row>
    <row r="97" spans="1:3" x14ac:dyDescent="0.25">
      <c r="A97" s="16">
        <v>39002</v>
      </c>
      <c r="C97" s="16">
        <v>39807</v>
      </c>
    </row>
    <row r="98" spans="1:3" x14ac:dyDescent="0.25">
      <c r="A98" s="16">
        <v>39023</v>
      </c>
      <c r="C98" s="16">
        <v>39814</v>
      </c>
    </row>
    <row r="99" spans="1:3" x14ac:dyDescent="0.25">
      <c r="A99" s="16">
        <v>39036</v>
      </c>
      <c r="C99" s="16">
        <v>39867</v>
      </c>
    </row>
    <row r="100" spans="1:3" x14ac:dyDescent="0.25">
      <c r="A100" s="16">
        <v>39041</v>
      </c>
      <c r="C100" s="16">
        <v>39868</v>
      </c>
    </row>
    <row r="101" spans="1:3" x14ac:dyDescent="0.25">
      <c r="A101" s="16">
        <v>39075</v>
      </c>
      <c r="C101" s="16">
        <v>39913</v>
      </c>
    </row>
    <row r="102" spans="1:3" x14ac:dyDescent="0.25">
      <c r="A102" s="16">
        <v>39076</v>
      </c>
      <c r="C102" s="16">
        <v>39924</v>
      </c>
    </row>
    <row r="103" spans="1:3" x14ac:dyDescent="0.25">
      <c r="A103" s="16">
        <v>39082</v>
      </c>
      <c r="C103" s="16">
        <v>39934</v>
      </c>
    </row>
    <row r="104" spans="1:3" x14ac:dyDescent="0.25">
      <c r="A104" s="16">
        <v>39083</v>
      </c>
      <c r="C104" s="16">
        <v>39975</v>
      </c>
    </row>
    <row r="105" spans="1:3" x14ac:dyDescent="0.25">
      <c r="A105" s="16">
        <v>39107</v>
      </c>
      <c r="C105" s="16">
        <v>40063</v>
      </c>
    </row>
    <row r="106" spans="1:3" x14ac:dyDescent="0.25">
      <c r="A106" s="16">
        <v>39132</v>
      </c>
      <c r="C106" s="16">
        <v>40098</v>
      </c>
    </row>
    <row r="107" spans="1:3" x14ac:dyDescent="0.25">
      <c r="A107" s="16">
        <v>39133</v>
      </c>
      <c r="C107" s="16">
        <v>40119</v>
      </c>
    </row>
    <row r="108" spans="1:3" x14ac:dyDescent="0.25">
      <c r="A108" s="16">
        <v>39178</v>
      </c>
      <c r="C108" s="16">
        <v>40132</v>
      </c>
    </row>
    <row r="109" spans="1:3" x14ac:dyDescent="0.25">
      <c r="A109" s="16">
        <v>39193</v>
      </c>
      <c r="C109" s="16">
        <v>40172</v>
      </c>
    </row>
    <row r="110" spans="1:3" x14ac:dyDescent="0.25">
      <c r="A110" s="16">
        <v>39203</v>
      </c>
      <c r="C110" s="16">
        <v>40179</v>
      </c>
    </row>
    <row r="111" spans="1:3" x14ac:dyDescent="0.25">
      <c r="A111" s="16">
        <v>39240</v>
      </c>
      <c r="C111" s="16">
        <v>40224</v>
      </c>
    </row>
    <row r="112" spans="1:3" x14ac:dyDescent="0.25">
      <c r="A112" s="16">
        <v>39272</v>
      </c>
      <c r="C112" s="16">
        <v>40225</v>
      </c>
    </row>
    <row r="113" spans="1:3" x14ac:dyDescent="0.25">
      <c r="A113" s="16">
        <v>39332</v>
      </c>
      <c r="C113" s="16">
        <v>40270</v>
      </c>
    </row>
    <row r="114" spans="1:3" x14ac:dyDescent="0.25">
      <c r="A114" s="16">
        <v>39367</v>
      </c>
      <c r="C114" s="16">
        <v>40289</v>
      </c>
    </row>
    <row r="115" spans="1:3" x14ac:dyDescent="0.25">
      <c r="A115" s="16">
        <v>39388</v>
      </c>
      <c r="C115" s="16">
        <v>40299</v>
      </c>
    </row>
    <row r="116" spans="1:3" x14ac:dyDescent="0.25">
      <c r="A116" s="16">
        <v>39401</v>
      </c>
      <c r="C116" s="16">
        <v>40332</v>
      </c>
    </row>
    <row r="117" spans="1:3" x14ac:dyDescent="0.25">
      <c r="A117" s="16">
        <v>39406</v>
      </c>
      <c r="C117" s="16">
        <v>40428</v>
      </c>
    </row>
    <row r="118" spans="1:3" x14ac:dyDescent="0.25">
      <c r="A118" s="16">
        <v>39440</v>
      </c>
      <c r="C118" s="16">
        <v>40463</v>
      </c>
    </row>
    <row r="119" spans="1:3" x14ac:dyDescent="0.25">
      <c r="A119" s="16">
        <v>39441</v>
      </c>
      <c r="C119" s="16">
        <v>40484</v>
      </c>
    </row>
    <row r="120" spans="1:3" x14ac:dyDescent="0.25">
      <c r="A120" s="16">
        <v>39447</v>
      </c>
      <c r="C120" s="16">
        <v>40497</v>
      </c>
    </row>
    <row r="121" spans="1:3" x14ac:dyDescent="0.25">
      <c r="A121" s="16">
        <v>39448</v>
      </c>
      <c r="C121" s="16">
        <v>40537</v>
      </c>
    </row>
    <row r="122" spans="1:3" x14ac:dyDescent="0.25">
      <c r="A122" s="16">
        <v>39472</v>
      </c>
      <c r="C122" s="16">
        <v>40544</v>
      </c>
    </row>
    <row r="123" spans="1:3" x14ac:dyDescent="0.25">
      <c r="A123" s="16">
        <v>39482</v>
      </c>
      <c r="C123" s="16">
        <v>40609</v>
      </c>
    </row>
    <row r="124" spans="1:3" x14ac:dyDescent="0.25">
      <c r="A124" s="16">
        <v>39483</v>
      </c>
      <c r="C124" s="16">
        <v>40610</v>
      </c>
    </row>
    <row r="125" spans="1:3" x14ac:dyDescent="0.25">
      <c r="A125" s="16">
        <v>39528</v>
      </c>
      <c r="C125" s="16">
        <v>40654</v>
      </c>
    </row>
    <row r="126" spans="1:3" x14ac:dyDescent="0.25">
      <c r="A126" s="16">
        <v>39559</v>
      </c>
      <c r="C126" s="16">
        <v>40655</v>
      </c>
    </row>
    <row r="127" spans="1:3" x14ac:dyDescent="0.25">
      <c r="A127" s="16">
        <v>39569</v>
      </c>
      <c r="C127" s="16">
        <v>40664</v>
      </c>
    </row>
    <row r="128" spans="1:3" x14ac:dyDescent="0.25">
      <c r="A128" s="16">
        <v>39590</v>
      </c>
      <c r="C128" s="16">
        <v>40717</v>
      </c>
    </row>
    <row r="129" spans="1:3" x14ac:dyDescent="0.25">
      <c r="A129" s="16">
        <v>39638</v>
      </c>
      <c r="C129" s="16">
        <v>40793</v>
      </c>
    </row>
    <row r="130" spans="1:3" x14ac:dyDescent="0.25">
      <c r="A130" s="16">
        <v>39698</v>
      </c>
      <c r="C130" s="16">
        <v>40828</v>
      </c>
    </row>
    <row r="131" spans="1:3" x14ac:dyDescent="0.25">
      <c r="A131" s="16">
        <v>39733</v>
      </c>
      <c r="C131" s="16">
        <v>40849</v>
      </c>
    </row>
    <row r="132" spans="1:3" x14ac:dyDescent="0.25">
      <c r="A132" s="16">
        <v>39754</v>
      </c>
      <c r="C132" s="16">
        <v>40862</v>
      </c>
    </row>
    <row r="133" spans="1:3" x14ac:dyDescent="0.25">
      <c r="A133" s="16">
        <v>39767</v>
      </c>
      <c r="C133" s="16">
        <v>40902</v>
      </c>
    </row>
    <row r="134" spans="1:3" x14ac:dyDescent="0.25">
      <c r="A134" s="16">
        <v>39772</v>
      </c>
      <c r="C134" s="16">
        <v>40909</v>
      </c>
    </row>
    <row r="135" spans="1:3" x14ac:dyDescent="0.25">
      <c r="A135" s="16">
        <v>39806</v>
      </c>
      <c r="C135" s="16">
        <v>40959</v>
      </c>
    </row>
    <row r="136" spans="1:3" x14ac:dyDescent="0.25">
      <c r="A136" s="16">
        <v>39807</v>
      </c>
      <c r="C136" s="16">
        <v>40960</v>
      </c>
    </row>
    <row r="137" spans="1:3" x14ac:dyDescent="0.25">
      <c r="A137" s="16">
        <v>39813</v>
      </c>
      <c r="C137" s="16">
        <v>41005</v>
      </c>
    </row>
    <row r="138" spans="1:3" x14ac:dyDescent="0.25">
      <c r="A138" s="16">
        <v>39814</v>
      </c>
      <c r="C138" s="16">
        <v>41020</v>
      </c>
    </row>
    <row r="139" spans="1:3" x14ac:dyDescent="0.25">
      <c r="A139" s="16">
        <v>39838</v>
      </c>
      <c r="C139" s="16">
        <v>41030</v>
      </c>
    </row>
    <row r="140" spans="1:3" x14ac:dyDescent="0.25">
      <c r="A140" s="16">
        <v>39867</v>
      </c>
      <c r="C140" s="16">
        <v>41067</v>
      </c>
    </row>
    <row r="141" spans="1:3" x14ac:dyDescent="0.25">
      <c r="A141" s="16">
        <v>39868</v>
      </c>
      <c r="C141" s="16">
        <v>41159</v>
      </c>
    </row>
    <row r="142" spans="1:3" x14ac:dyDescent="0.25">
      <c r="A142" s="16">
        <v>39913</v>
      </c>
      <c r="C142" s="16">
        <v>41194</v>
      </c>
    </row>
    <row r="143" spans="1:3" x14ac:dyDescent="0.25">
      <c r="A143" s="16">
        <v>39924</v>
      </c>
      <c r="C143" s="16">
        <v>41215</v>
      </c>
    </row>
    <row r="144" spans="1:3" x14ac:dyDescent="0.25">
      <c r="A144" s="16">
        <v>39934</v>
      </c>
      <c r="C144" s="16">
        <v>41228</v>
      </c>
    </row>
    <row r="145" spans="1:3" x14ac:dyDescent="0.25">
      <c r="A145" s="16">
        <v>39975</v>
      </c>
      <c r="C145" s="16">
        <v>41268</v>
      </c>
    </row>
    <row r="146" spans="1:3" x14ac:dyDescent="0.25">
      <c r="A146" s="16">
        <v>40003</v>
      </c>
      <c r="C146" s="16">
        <v>41275</v>
      </c>
    </row>
    <row r="147" spans="1:3" x14ac:dyDescent="0.25">
      <c r="A147" s="16">
        <v>40063</v>
      </c>
      <c r="C147" s="16">
        <v>41316</v>
      </c>
    </row>
    <row r="148" spans="1:3" x14ac:dyDescent="0.25">
      <c r="A148" s="16">
        <v>40098</v>
      </c>
      <c r="C148" s="16">
        <v>41317</v>
      </c>
    </row>
    <row r="149" spans="1:3" x14ac:dyDescent="0.25">
      <c r="A149" s="16">
        <v>40119</v>
      </c>
      <c r="C149" s="16">
        <v>41362</v>
      </c>
    </row>
    <row r="150" spans="1:3" x14ac:dyDescent="0.25">
      <c r="A150" s="16">
        <v>40132</v>
      </c>
      <c r="C150" s="16">
        <v>41385</v>
      </c>
    </row>
    <row r="151" spans="1:3" x14ac:dyDescent="0.25">
      <c r="A151" s="16">
        <v>40137</v>
      </c>
      <c r="C151" s="16">
        <v>41395</v>
      </c>
    </row>
    <row r="152" spans="1:3" x14ac:dyDescent="0.25">
      <c r="A152" s="16">
        <v>40171</v>
      </c>
      <c r="C152" s="16">
        <v>41424</v>
      </c>
    </row>
    <row r="153" spans="1:3" x14ac:dyDescent="0.25">
      <c r="A153" s="16">
        <v>40172</v>
      </c>
      <c r="C153" s="16">
        <v>41524</v>
      </c>
    </row>
    <row r="154" spans="1:3" x14ac:dyDescent="0.25">
      <c r="A154" s="16">
        <v>40178</v>
      </c>
      <c r="C154" s="16">
        <v>41559</v>
      </c>
    </row>
    <row r="155" spans="1:3" x14ac:dyDescent="0.25">
      <c r="A155" s="16">
        <v>40179</v>
      </c>
      <c r="C155" s="16">
        <v>41580</v>
      </c>
    </row>
    <row r="156" spans="1:3" x14ac:dyDescent="0.25">
      <c r="A156" s="16">
        <v>40203</v>
      </c>
      <c r="C156" s="16">
        <v>41593</v>
      </c>
    </row>
    <row r="157" spans="1:3" x14ac:dyDescent="0.25">
      <c r="A157" s="16">
        <v>40224</v>
      </c>
      <c r="C157" s="16">
        <v>41633</v>
      </c>
    </row>
    <row r="158" spans="1:3" x14ac:dyDescent="0.25">
      <c r="A158" s="16">
        <v>40225</v>
      </c>
      <c r="C158" s="16">
        <v>41640</v>
      </c>
    </row>
    <row r="159" spans="1:3" x14ac:dyDescent="0.25">
      <c r="A159" s="16">
        <v>40270</v>
      </c>
      <c r="C159" s="16">
        <v>41701</v>
      </c>
    </row>
    <row r="160" spans="1:3" x14ac:dyDescent="0.25">
      <c r="A160" s="16">
        <v>40289</v>
      </c>
      <c r="C160" s="16">
        <v>41702</v>
      </c>
    </row>
    <row r="161" spans="1:3" x14ac:dyDescent="0.25">
      <c r="A161" s="16">
        <v>40299</v>
      </c>
      <c r="C161" s="16">
        <v>41747</v>
      </c>
    </row>
    <row r="162" spans="1:3" x14ac:dyDescent="0.25">
      <c r="A162" s="16">
        <v>40332</v>
      </c>
      <c r="C162" s="16">
        <v>41750</v>
      </c>
    </row>
    <row r="163" spans="1:3" x14ac:dyDescent="0.25">
      <c r="A163" s="16">
        <v>40368</v>
      </c>
      <c r="C163" s="16">
        <v>41760</v>
      </c>
    </row>
    <row r="164" spans="1:3" x14ac:dyDescent="0.25">
      <c r="A164" s="16">
        <v>40428</v>
      </c>
      <c r="C164" s="16">
        <v>41809</v>
      </c>
    </row>
    <row r="165" spans="1:3" x14ac:dyDescent="0.25">
      <c r="A165" s="16">
        <v>40463</v>
      </c>
      <c r="C165" s="16">
        <v>41889</v>
      </c>
    </row>
    <row r="166" spans="1:3" x14ac:dyDescent="0.25">
      <c r="A166" s="16">
        <v>40484</v>
      </c>
      <c r="C166" s="16">
        <v>41924</v>
      </c>
    </row>
    <row r="167" spans="1:3" x14ac:dyDescent="0.25">
      <c r="A167" s="16">
        <v>40497</v>
      </c>
      <c r="C167" s="16">
        <v>41945</v>
      </c>
    </row>
    <row r="168" spans="1:3" x14ac:dyDescent="0.25">
      <c r="A168" s="16">
        <v>40502</v>
      </c>
      <c r="C168" s="16">
        <v>41958</v>
      </c>
    </row>
    <row r="169" spans="1:3" x14ac:dyDescent="0.25">
      <c r="A169" s="16">
        <v>40536</v>
      </c>
      <c r="C169" s="16">
        <v>41998</v>
      </c>
    </row>
    <row r="170" spans="1:3" x14ac:dyDescent="0.25">
      <c r="A170" s="16">
        <v>40537</v>
      </c>
      <c r="C170" s="16">
        <v>42005</v>
      </c>
    </row>
    <row r="171" spans="1:3" x14ac:dyDescent="0.25">
      <c r="A171" s="16">
        <v>40543</v>
      </c>
      <c r="C171" s="16">
        <v>42051</v>
      </c>
    </row>
    <row r="172" spans="1:3" x14ac:dyDescent="0.25">
      <c r="A172" s="16">
        <v>40544</v>
      </c>
      <c r="C172" s="16">
        <v>42052</v>
      </c>
    </row>
    <row r="173" spans="1:3" x14ac:dyDescent="0.25">
      <c r="A173" s="16">
        <v>40568</v>
      </c>
      <c r="C173" s="16">
        <v>42097</v>
      </c>
    </row>
    <row r="174" spans="1:3" x14ac:dyDescent="0.25">
      <c r="A174" s="16">
        <v>40609</v>
      </c>
      <c r="C174" s="16">
        <v>42115</v>
      </c>
    </row>
    <row r="175" spans="1:3" x14ac:dyDescent="0.25">
      <c r="A175" s="16">
        <v>40610</v>
      </c>
      <c r="C175" s="16">
        <v>42125</v>
      </c>
    </row>
    <row r="176" spans="1:3" x14ac:dyDescent="0.25">
      <c r="A176" s="16">
        <v>40654</v>
      </c>
      <c r="C176" s="16">
        <v>42159</v>
      </c>
    </row>
    <row r="177" spans="1:3" x14ac:dyDescent="0.25">
      <c r="A177" s="16">
        <v>40655</v>
      </c>
      <c r="C177" s="16">
        <v>42254</v>
      </c>
    </row>
    <row r="178" spans="1:3" x14ac:dyDescent="0.25">
      <c r="A178" s="16">
        <v>40664</v>
      </c>
      <c r="C178" s="16">
        <v>42289</v>
      </c>
    </row>
    <row r="179" spans="1:3" x14ac:dyDescent="0.25">
      <c r="A179" s="16">
        <v>40717</v>
      </c>
      <c r="C179" s="16">
        <v>42310</v>
      </c>
    </row>
    <row r="180" spans="1:3" x14ac:dyDescent="0.25">
      <c r="A180" s="16">
        <v>40733</v>
      </c>
      <c r="C180" s="16">
        <v>42323</v>
      </c>
    </row>
    <row r="181" spans="1:3" x14ac:dyDescent="0.25">
      <c r="A181" s="16">
        <v>40793</v>
      </c>
      <c r="C181" s="16">
        <v>42363</v>
      </c>
    </row>
    <row r="182" spans="1:3" x14ac:dyDescent="0.25">
      <c r="A182" s="16">
        <v>40828</v>
      </c>
      <c r="C182" s="16">
        <v>42370</v>
      </c>
    </row>
    <row r="183" spans="1:3" x14ac:dyDescent="0.25">
      <c r="A183" s="16">
        <v>40849</v>
      </c>
      <c r="C183" s="16">
        <v>42408</v>
      </c>
    </row>
    <row r="184" spans="1:3" x14ac:dyDescent="0.25">
      <c r="A184" s="16">
        <v>40862</v>
      </c>
      <c r="C184" s="16">
        <v>42409</v>
      </c>
    </row>
    <row r="185" spans="1:3" x14ac:dyDescent="0.25">
      <c r="A185" s="16">
        <v>40867</v>
      </c>
      <c r="C185" s="16">
        <v>42454</v>
      </c>
    </row>
    <row r="186" spans="1:3" x14ac:dyDescent="0.25">
      <c r="A186" s="16">
        <v>40901</v>
      </c>
      <c r="C186" s="16">
        <v>42481</v>
      </c>
    </row>
    <row r="187" spans="1:3" x14ac:dyDescent="0.25">
      <c r="A187" s="16">
        <v>40902</v>
      </c>
      <c r="C187" s="16">
        <v>42491</v>
      </c>
    </row>
    <row r="188" spans="1:3" x14ac:dyDescent="0.25">
      <c r="A188" s="16">
        <v>40908</v>
      </c>
      <c r="C188" s="16">
        <v>42516</v>
      </c>
    </row>
    <row r="189" spans="1:3" x14ac:dyDescent="0.25">
      <c r="A189" s="16">
        <v>40909</v>
      </c>
      <c r="C189" s="16">
        <v>42620</v>
      </c>
    </row>
    <row r="190" spans="1:3" x14ac:dyDescent="0.25">
      <c r="A190" s="16">
        <v>40933</v>
      </c>
      <c r="C190" s="16">
        <v>42655</v>
      </c>
    </row>
    <row r="191" spans="1:3" x14ac:dyDescent="0.25">
      <c r="A191" s="16">
        <v>40959</v>
      </c>
      <c r="C191" s="16">
        <v>42676</v>
      </c>
    </row>
    <row r="192" spans="1:3" x14ac:dyDescent="0.25">
      <c r="A192" s="16">
        <v>40960</v>
      </c>
      <c r="C192" s="16">
        <v>42689</v>
      </c>
    </row>
    <row r="193" spans="1:3" x14ac:dyDescent="0.25">
      <c r="A193" s="16">
        <v>41005</v>
      </c>
      <c r="C193" s="16">
        <v>42729</v>
      </c>
    </row>
    <row r="194" spans="1:3" x14ac:dyDescent="0.25">
      <c r="A194" s="16">
        <v>41020</v>
      </c>
      <c r="C194" s="16">
        <v>42736</v>
      </c>
    </row>
    <row r="195" spans="1:3" x14ac:dyDescent="0.25">
      <c r="A195" s="16">
        <v>41030</v>
      </c>
      <c r="C195" s="16">
        <v>42793</v>
      </c>
    </row>
    <row r="196" spans="1:3" x14ac:dyDescent="0.25">
      <c r="A196" s="16">
        <v>41067</v>
      </c>
      <c r="C196" s="16">
        <v>42794</v>
      </c>
    </row>
    <row r="197" spans="1:3" x14ac:dyDescent="0.25">
      <c r="A197" s="16">
        <v>41099</v>
      </c>
      <c r="C197" s="16">
        <v>42839</v>
      </c>
    </row>
    <row r="198" spans="1:3" x14ac:dyDescent="0.25">
      <c r="A198" s="16">
        <v>41159</v>
      </c>
      <c r="C198" s="16">
        <v>42846</v>
      </c>
    </row>
    <row r="199" spans="1:3" x14ac:dyDescent="0.25">
      <c r="A199" s="16">
        <v>41194</v>
      </c>
      <c r="C199" s="16">
        <v>42856</v>
      </c>
    </row>
    <row r="200" spans="1:3" x14ac:dyDescent="0.25">
      <c r="A200" s="16">
        <v>41215</v>
      </c>
      <c r="C200" s="16">
        <v>42901</v>
      </c>
    </row>
    <row r="201" spans="1:3" x14ac:dyDescent="0.25">
      <c r="A201" s="16">
        <v>41228</v>
      </c>
      <c r="C201" s="16">
        <v>42985</v>
      </c>
    </row>
    <row r="202" spans="1:3" x14ac:dyDescent="0.25">
      <c r="A202" s="16">
        <v>41233</v>
      </c>
      <c r="C202" s="16">
        <v>43020</v>
      </c>
    </row>
    <row r="203" spans="1:3" x14ac:dyDescent="0.25">
      <c r="A203" s="16">
        <v>41267</v>
      </c>
      <c r="C203" s="16">
        <v>43041</v>
      </c>
    </row>
    <row r="204" spans="1:3" x14ac:dyDescent="0.25">
      <c r="A204" s="16">
        <v>41268</v>
      </c>
      <c r="C204" s="16">
        <v>43054</v>
      </c>
    </row>
    <row r="205" spans="1:3" x14ac:dyDescent="0.25">
      <c r="A205" s="16">
        <v>41274</v>
      </c>
      <c r="C205" s="16">
        <v>43094</v>
      </c>
    </row>
    <row r="206" spans="1:3" x14ac:dyDescent="0.25">
      <c r="A206" s="16">
        <v>41275</v>
      </c>
      <c r="C206" s="16">
        <v>43101</v>
      </c>
    </row>
    <row r="207" spans="1:3" x14ac:dyDescent="0.25">
      <c r="A207" s="16">
        <v>41299</v>
      </c>
      <c r="C207" s="16">
        <v>43143</v>
      </c>
    </row>
    <row r="208" spans="1:3" x14ac:dyDescent="0.25">
      <c r="A208" s="16">
        <v>41316</v>
      </c>
      <c r="C208" s="16">
        <v>43144</v>
      </c>
    </row>
    <row r="209" spans="1:3" x14ac:dyDescent="0.25">
      <c r="A209" s="16">
        <v>41317</v>
      </c>
      <c r="C209" s="16">
        <v>43189</v>
      </c>
    </row>
    <row r="210" spans="1:3" x14ac:dyDescent="0.25">
      <c r="A210" s="16">
        <v>41362</v>
      </c>
      <c r="C210" s="16">
        <v>43211</v>
      </c>
    </row>
    <row r="211" spans="1:3" x14ac:dyDescent="0.25">
      <c r="A211" s="16">
        <v>41385</v>
      </c>
      <c r="C211" s="16">
        <v>43221</v>
      </c>
    </row>
    <row r="212" spans="1:3" x14ac:dyDescent="0.25">
      <c r="A212" s="16">
        <v>41395</v>
      </c>
      <c r="C212" s="16">
        <v>43251</v>
      </c>
    </row>
    <row r="213" spans="1:3" x14ac:dyDescent="0.25">
      <c r="A213" s="16">
        <v>41424</v>
      </c>
      <c r="C213" s="16">
        <v>43350</v>
      </c>
    </row>
    <row r="214" spans="1:3" x14ac:dyDescent="0.25">
      <c r="A214" s="16">
        <v>41464</v>
      </c>
      <c r="C214" s="16">
        <v>43385</v>
      </c>
    </row>
    <row r="215" spans="1:3" x14ac:dyDescent="0.25">
      <c r="A215" s="16">
        <v>41524</v>
      </c>
      <c r="C215" s="16">
        <v>43406</v>
      </c>
    </row>
    <row r="216" spans="1:3" x14ac:dyDescent="0.25">
      <c r="A216" s="16">
        <v>41559</v>
      </c>
      <c r="C216" s="16">
        <v>43419</v>
      </c>
    </row>
    <row r="217" spans="1:3" x14ac:dyDescent="0.25">
      <c r="A217" s="16">
        <v>41580</v>
      </c>
      <c r="C217" s="16">
        <v>43459</v>
      </c>
    </row>
    <row r="218" spans="1:3" x14ac:dyDescent="0.25">
      <c r="A218" s="16">
        <v>41593</v>
      </c>
      <c r="C218" s="16">
        <v>43466</v>
      </c>
    </row>
    <row r="219" spans="1:3" x14ac:dyDescent="0.25">
      <c r="A219" s="16">
        <v>41598</v>
      </c>
      <c r="C219" s="16">
        <v>43528</v>
      </c>
    </row>
    <row r="220" spans="1:3" x14ac:dyDescent="0.25">
      <c r="A220" s="16">
        <v>41632</v>
      </c>
      <c r="C220" s="16">
        <v>43529</v>
      </c>
    </row>
    <row r="221" spans="1:3" x14ac:dyDescent="0.25">
      <c r="A221" s="16">
        <v>41633</v>
      </c>
      <c r="C221" s="16">
        <v>43574</v>
      </c>
    </row>
    <row r="222" spans="1:3" x14ac:dyDescent="0.25">
      <c r="A222" s="16">
        <v>41639</v>
      </c>
      <c r="C222" s="16">
        <v>43576</v>
      </c>
    </row>
    <row r="223" spans="1:3" x14ac:dyDescent="0.25">
      <c r="A223" s="16">
        <v>41640</v>
      </c>
      <c r="C223" s="16">
        <v>43586</v>
      </c>
    </row>
    <row r="224" spans="1:3" x14ac:dyDescent="0.25">
      <c r="A224" s="16">
        <v>41664</v>
      </c>
      <c r="C224" s="16">
        <v>43636</v>
      </c>
    </row>
    <row r="225" spans="1:3" x14ac:dyDescent="0.25">
      <c r="A225" s="16">
        <v>41701</v>
      </c>
      <c r="C225" s="16">
        <v>43715</v>
      </c>
    </row>
    <row r="226" spans="1:3" x14ac:dyDescent="0.25">
      <c r="A226" s="16">
        <v>41702</v>
      </c>
      <c r="C226" s="16">
        <v>43750</v>
      </c>
    </row>
    <row r="227" spans="1:3" x14ac:dyDescent="0.25">
      <c r="A227" s="16">
        <v>41747</v>
      </c>
      <c r="C227" s="16">
        <v>43771</v>
      </c>
    </row>
    <row r="228" spans="1:3" x14ac:dyDescent="0.25">
      <c r="A228" s="16">
        <v>41750</v>
      </c>
      <c r="C228" s="16">
        <v>43784</v>
      </c>
    </row>
    <row r="229" spans="1:3" x14ac:dyDescent="0.25">
      <c r="A229" s="16">
        <v>41760</v>
      </c>
      <c r="C229" s="16">
        <v>43824</v>
      </c>
    </row>
    <row r="230" spans="1:3" x14ac:dyDescent="0.25">
      <c r="A230" s="16">
        <v>41809</v>
      </c>
      <c r="C230" s="16">
        <v>43831</v>
      </c>
    </row>
    <row r="231" spans="1:3" x14ac:dyDescent="0.25">
      <c r="A231" s="16">
        <v>41829</v>
      </c>
      <c r="C231" s="16">
        <v>43885</v>
      </c>
    </row>
    <row r="232" spans="1:3" x14ac:dyDescent="0.25">
      <c r="A232" s="16">
        <v>41889</v>
      </c>
      <c r="C232" s="16">
        <v>43886</v>
      </c>
    </row>
    <row r="233" spans="1:3" x14ac:dyDescent="0.25">
      <c r="A233" s="16">
        <v>41924</v>
      </c>
      <c r="C233" s="16">
        <v>43931</v>
      </c>
    </row>
    <row r="234" spans="1:3" x14ac:dyDescent="0.25">
      <c r="A234" s="16">
        <v>41945</v>
      </c>
      <c r="C234" s="16">
        <v>43942</v>
      </c>
    </row>
    <row r="235" spans="1:3" x14ac:dyDescent="0.25">
      <c r="A235" s="16">
        <v>41958</v>
      </c>
      <c r="C235" s="16">
        <v>43952</v>
      </c>
    </row>
    <row r="236" spans="1:3" x14ac:dyDescent="0.25">
      <c r="A236" s="16">
        <v>41963</v>
      </c>
      <c r="C236" s="16">
        <v>43993</v>
      </c>
    </row>
    <row r="237" spans="1:3" x14ac:dyDescent="0.25">
      <c r="A237" s="16">
        <v>41997</v>
      </c>
      <c r="C237" s="16">
        <v>44081</v>
      </c>
    </row>
    <row r="238" spans="1:3" x14ac:dyDescent="0.25">
      <c r="A238" s="16">
        <v>41998</v>
      </c>
      <c r="C238" s="16">
        <v>44116</v>
      </c>
    </row>
    <row r="239" spans="1:3" x14ac:dyDescent="0.25">
      <c r="A239" s="16">
        <v>42004</v>
      </c>
      <c r="C239" s="16">
        <v>44137</v>
      </c>
    </row>
    <row r="240" spans="1:3" x14ac:dyDescent="0.25">
      <c r="A240" s="16">
        <v>42005</v>
      </c>
      <c r="C240" s="16">
        <v>44150</v>
      </c>
    </row>
    <row r="241" spans="1:3" x14ac:dyDescent="0.25">
      <c r="A241" s="16">
        <v>42029</v>
      </c>
      <c r="C241" s="16">
        <v>44190</v>
      </c>
    </row>
    <row r="242" spans="1:3" x14ac:dyDescent="0.25">
      <c r="A242" s="16">
        <v>42051</v>
      </c>
      <c r="C242" s="16">
        <v>44197</v>
      </c>
    </row>
    <row r="243" spans="1:3" x14ac:dyDescent="0.25">
      <c r="A243" s="16">
        <v>42052</v>
      </c>
      <c r="C243" s="16">
        <v>44242</v>
      </c>
    </row>
    <row r="244" spans="1:3" x14ac:dyDescent="0.25">
      <c r="A244" s="16">
        <v>42097</v>
      </c>
      <c r="C244" s="16">
        <v>44243</v>
      </c>
    </row>
    <row r="245" spans="1:3" x14ac:dyDescent="0.25">
      <c r="A245" s="16">
        <v>42115</v>
      </c>
      <c r="C245" s="16">
        <v>44288</v>
      </c>
    </row>
    <row r="246" spans="1:3" x14ac:dyDescent="0.25">
      <c r="A246" s="16">
        <v>42125</v>
      </c>
      <c r="C246" s="16">
        <v>44307</v>
      </c>
    </row>
    <row r="247" spans="1:3" x14ac:dyDescent="0.25">
      <c r="A247" s="16">
        <v>42159</v>
      </c>
      <c r="C247" s="16">
        <v>44317</v>
      </c>
    </row>
    <row r="248" spans="1:3" x14ac:dyDescent="0.25">
      <c r="A248" s="16">
        <v>42194</v>
      </c>
      <c r="C248" s="16">
        <v>44350</v>
      </c>
    </row>
    <row r="249" spans="1:3" x14ac:dyDescent="0.25">
      <c r="A249" s="16">
        <v>42254</v>
      </c>
      <c r="C249" s="16">
        <v>44446</v>
      </c>
    </row>
    <row r="250" spans="1:3" x14ac:dyDescent="0.25">
      <c r="A250" s="16">
        <v>42289</v>
      </c>
      <c r="C250" s="16">
        <v>44481</v>
      </c>
    </row>
    <row r="251" spans="1:3" x14ac:dyDescent="0.25">
      <c r="A251" s="16">
        <v>42310</v>
      </c>
      <c r="C251" s="16">
        <v>44502</v>
      </c>
    </row>
    <row r="252" spans="1:3" x14ac:dyDescent="0.25">
      <c r="A252" s="16">
        <v>42323</v>
      </c>
      <c r="C252" s="16">
        <v>44515</v>
      </c>
    </row>
    <row r="253" spans="1:3" x14ac:dyDescent="0.25">
      <c r="A253" s="16">
        <v>42328</v>
      </c>
      <c r="C253" s="16">
        <v>44555</v>
      </c>
    </row>
    <row r="254" spans="1:3" x14ac:dyDescent="0.25">
      <c r="A254" s="16">
        <v>42362</v>
      </c>
      <c r="C254" s="16">
        <v>44562</v>
      </c>
    </row>
    <row r="255" spans="1:3" x14ac:dyDescent="0.25">
      <c r="A255" s="16">
        <v>42363</v>
      </c>
      <c r="C255" s="16">
        <v>44620</v>
      </c>
    </row>
    <row r="256" spans="1:3" x14ac:dyDescent="0.25">
      <c r="A256" s="16">
        <v>42369</v>
      </c>
      <c r="C256" s="16">
        <v>44621</v>
      </c>
    </row>
    <row r="257" spans="1:3" x14ac:dyDescent="0.25">
      <c r="A257" s="16">
        <v>42370</v>
      </c>
      <c r="C257" s="16">
        <v>44666</v>
      </c>
    </row>
    <row r="258" spans="1:3" x14ac:dyDescent="0.25">
      <c r="A258" s="16">
        <v>42394</v>
      </c>
      <c r="C258" s="16">
        <v>44672</v>
      </c>
    </row>
    <row r="259" spans="1:3" x14ac:dyDescent="0.25">
      <c r="A259" s="16">
        <v>42408</v>
      </c>
      <c r="C259" s="16">
        <v>44682</v>
      </c>
    </row>
    <row r="260" spans="1:3" x14ac:dyDescent="0.25">
      <c r="A260" s="16">
        <v>42409</v>
      </c>
      <c r="C260" s="16">
        <v>44728</v>
      </c>
    </row>
    <row r="261" spans="1:3" x14ac:dyDescent="0.25">
      <c r="A261" s="16">
        <v>42454</v>
      </c>
      <c r="C261" s="16">
        <v>44811</v>
      </c>
    </row>
    <row r="262" spans="1:3" x14ac:dyDescent="0.25">
      <c r="A262" s="16">
        <v>42481</v>
      </c>
      <c r="C262" s="16">
        <v>44846</v>
      </c>
    </row>
    <row r="263" spans="1:3" x14ac:dyDescent="0.25">
      <c r="A263" s="16">
        <v>42491</v>
      </c>
      <c r="C263" s="16">
        <v>44867</v>
      </c>
    </row>
    <row r="264" spans="1:3" x14ac:dyDescent="0.25">
      <c r="A264" s="16">
        <v>42516</v>
      </c>
      <c r="C264" s="16">
        <v>44880</v>
      </c>
    </row>
    <row r="265" spans="1:3" x14ac:dyDescent="0.25">
      <c r="A265" s="16">
        <v>42560</v>
      </c>
      <c r="C265" s="16">
        <v>44920</v>
      </c>
    </row>
    <row r="266" spans="1:3" x14ac:dyDescent="0.25">
      <c r="A266" s="16">
        <v>42620</v>
      </c>
      <c r="C266" s="16">
        <v>44927</v>
      </c>
    </row>
    <row r="267" spans="1:3" x14ac:dyDescent="0.25">
      <c r="A267" s="16">
        <v>42655</v>
      </c>
      <c r="C267" s="16">
        <v>44977</v>
      </c>
    </row>
    <row r="268" spans="1:3" x14ac:dyDescent="0.25">
      <c r="A268" s="16">
        <v>42676</v>
      </c>
      <c r="C268" s="16">
        <v>44978</v>
      </c>
    </row>
    <row r="269" spans="1:3" x14ac:dyDescent="0.25">
      <c r="A269" s="16">
        <v>42689</v>
      </c>
      <c r="C269" s="16">
        <v>45023</v>
      </c>
    </row>
    <row r="270" spans="1:3" x14ac:dyDescent="0.25">
      <c r="A270" s="16">
        <v>42694</v>
      </c>
      <c r="C270" s="16">
        <v>45037</v>
      </c>
    </row>
    <row r="271" spans="1:3" x14ac:dyDescent="0.25">
      <c r="A271" s="16">
        <v>42728</v>
      </c>
      <c r="C271" s="16">
        <v>45047</v>
      </c>
    </row>
    <row r="272" spans="1:3" x14ac:dyDescent="0.25">
      <c r="A272" s="16">
        <v>42729</v>
      </c>
      <c r="C272" s="16">
        <v>45085</v>
      </c>
    </row>
    <row r="273" spans="1:3" x14ac:dyDescent="0.25">
      <c r="A273" s="16">
        <v>42735</v>
      </c>
      <c r="C273" s="16">
        <v>45176</v>
      </c>
    </row>
    <row r="274" spans="1:3" x14ac:dyDescent="0.25">
      <c r="A274" s="16">
        <v>42736</v>
      </c>
      <c r="C274" s="16">
        <v>45211</v>
      </c>
    </row>
    <row r="275" spans="1:3" x14ac:dyDescent="0.25">
      <c r="A275" s="16">
        <v>42760</v>
      </c>
      <c r="C275" s="16">
        <v>45232</v>
      </c>
    </row>
    <row r="276" spans="1:3" x14ac:dyDescent="0.25">
      <c r="A276" s="16">
        <v>42793</v>
      </c>
      <c r="C276" s="16">
        <v>45245</v>
      </c>
    </row>
    <row r="277" spans="1:3" x14ac:dyDescent="0.25">
      <c r="A277" s="16">
        <v>42794</v>
      </c>
      <c r="C277" s="16">
        <v>45285</v>
      </c>
    </row>
    <row r="278" spans="1:3" x14ac:dyDescent="0.25">
      <c r="A278" s="16">
        <v>42839</v>
      </c>
      <c r="C278" s="16">
        <v>45292</v>
      </c>
    </row>
    <row r="279" spans="1:3" x14ac:dyDescent="0.25">
      <c r="A279" s="16">
        <v>42846</v>
      </c>
      <c r="C279" s="16">
        <v>45334</v>
      </c>
    </row>
    <row r="280" spans="1:3" x14ac:dyDescent="0.25">
      <c r="A280" s="16">
        <v>42856</v>
      </c>
      <c r="C280" s="16">
        <v>45335</v>
      </c>
    </row>
    <row r="281" spans="1:3" x14ac:dyDescent="0.25">
      <c r="A281" s="16">
        <v>42901</v>
      </c>
      <c r="C281" s="16">
        <v>45380</v>
      </c>
    </row>
    <row r="282" spans="1:3" x14ac:dyDescent="0.25">
      <c r="A282" s="16">
        <v>42925</v>
      </c>
      <c r="C282" s="16">
        <v>45403</v>
      </c>
    </row>
    <row r="283" spans="1:3" x14ac:dyDescent="0.25">
      <c r="A283" s="16">
        <v>42985</v>
      </c>
      <c r="C283" s="16">
        <v>45413</v>
      </c>
    </row>
    <row r="284" spans="1:3" x14ac:dyDescent="0.25">
      <c r="A284" s="16">
        <v>43020</v>
      </c>
      <c r="C284" s="16">
        <v>45442</v>
      </c>
    </row>
    <row r="285" spans="1:3" x14ac:dyDescent="0.25">
      <c r="A285" s="16">
        <v>43041</v>
      </c>
      <c r="C285" s="16">
        <v>45542</v>
      </c>
    </row>
    <row r="286" spans="1:3" x14ac:dyDescent="0.25">
      <c r="A286" s="16">
        <v>43054</v>
      </c>
      <c r="C286" s="16">
        <v>45577</v>
      </c>
    </row>
    <row r="287" spans="1:3" x14ac:dyDescent="0.25">
      <c r="A287" s="16">
        <v>43059</v>
      </c>
      <c r="C287" s="16">
        <v>45598</v>
      </c>
    </row>
    <row r="288" spans="1:3" x14ac:dyDescent="0.25">
      <c r="A288" s="16">
        <v>43093</v>
      </c>
      <c r="C288" s="16">
        <v>45611</v>
      </c>
    </row>
    <row r="289" spans="1:3" x14ac:dyDescent="0.25">
      <c r="A289" s="16">
        <v>43094</v>
      </c>
      <c r="C289" s="16">
        <v>45616</v>
      </c>
    </row>
    <row r="290" spans="1:3" x14ac:dyDescent="0.25">
      <c r="A290" s="16">
        <v>43100</v>
      </c>
      <c r="C290" s="16">
        <v>45651</v>
      </c>
    </row>
    <row r="291" spans="1:3" x14ac:dyDescent="0.25">
      <c r="A291" s="16">
        <v>43101</v>
      </c>
      <c r="C291" s="16">
        <v>45658</v>
      </c>
    </row>
    <row r="292" spans="1:3" x14ac:dyDescent="0.25">
      <c r="A292" s="16">
        <v>43125</v>
      </c>
      <c r="C292" s="16">
        <v>45719</v>
      </c>
    </row>
    <row r="293" spans="1:3" x14ac:dyDescent="0.25">
      <c r="A293" s="16">
        <v>43143</v>
      </c>
      <c r="C293" s="16">
        <v>45720</v>
      </c>
    </row>
    <row r="294" spans="1:3" x14ac:dyDescent="0.25">
      <c r="A294" s="16">
        <v>43144</v>
      </c>
      <c r="C294" s="16">
        <v>45765</v>
      </c>
    </row>
    <row r="295" spans="1:3" x14ac:dyDescent="0.25">
      <c r="A295" s="16">
        <v>43189</v>
      </c>
      <c r="C295" s="16">
        <v>45768</v>
      </c>
    </row>
    <row r="296" spans="1:3" x14ac:dyDescent="0.25">
      <c r="A296" s="16">
        <v>43211</v>
      </c>
      <c r="C296" s="16">
        <v>45778</v>
      </c>
    </row>
    <row r="297" spans="1:3" x14ac:dyDescent="0.25">
      <c r="A297" s="16">
        <v>43221</v>
      </c>
      <c r="C297" s="16">
        <v>45827</v>
      </c>
    </row>
    <row r="298" spans="1:3" x14ac:dyDescent="0.25">
      <c r="A298" s="16">
        <v>43251</v>
      </c>
      <c r="C298" s="16">
        <v>45907</v>
      </c>
    </row>
    <row r="299" spans="1:3" x14ac:dyDescent="0.25">
      <c r="A299" s="16">
        <v>43290</v>
      </c>
      <c r="C299" s="16">
        <v>45942</v>
      </c>
    </row>
    <row r="300" spans="1:3" x14ac:dyDescent="0.25">
      <c r="A300" s="16">
        <v>43350</v>
      </c>
      <c r="C300" s="16">
        <v>45963</v>
      </c>
    </row>
    <row r="301" spans="1:3" x14ac:dyDescent="0.25">
      <c r="A301" s="16">
        <v>43385</v>
      </c>
      <c r="C301" s="16">
        <v>45976</v>
      </c>
    </row>
    <row r="302" spans="1:3" x14ac:dyDescent="0.25">
      <c r="A302" s="16">
        <v>43406</v>
      </c>
      <c r="C302" s="16">
        <v>45981</v>
      </c>
    </row>
    <row r="303" spans="1:3" x14ac:dyDescent="0.25">
      <c r="A303" s="16">
        <v>43419</v>
      </c>
      <c r="C303" s="16">
        <v>46016</v>
      </c>
    </row>
    <row r="304" spans="1:3" x14ac:dyDescent="0.25">
      <c r="A304" s="16">
        <v>43424</v>
      </c>
      <c r="C304" s="16">
        <v>46023</v>
      </c>
    </row>
    <row r="305" spans="1:3" x14ac:dyDescent="0.25">
      <c r="A305" s="16">
        <v>43458</v>
      </c>
      <c r="C305" s="16">
        <v>46069</v>
      </c>
    </row>
    <row r="306" spans="1:3" x14ac:dyDescent="0.25">
      <c r="A306" s="16">
        <v>43459</v>
      </c>
      <c r="C306" s="16">
        <v>46070</v>
      </c>
    </row>
    <row r="307" spans="1:3" x14ac:dyDescent="0.25">
      <c r="A307" s="16">
        <v>43465</v>
      </c>
      <c r="C307" s="16">
        <v>46115</v>
      </c>
    </row>
    <row r="308" spans="1:3" x14ac:dyDescent="0.25">
      <c r="A308" s="16">
        <v>43466</v>
      </c>
      <c r="C308" s="16">
        <v>46133</v>
      </c>
    </row>
    <row r="309" spans="1:3" x14ac:dyDescent="0.25">
      <c r="A309" s="16">
        <v>43490</v>
      </c>
      <c r="C309" s="16">
        <v>46143</v>
      </c>
    </row>
    <row r="310" spans="1:3" x14ac:dyDescent="0.25">
      <c r="A310" s="16">
        <v>43528</v>
      </c>
      <c r="C310" s="16">
        <v>46177</v>
      </c>
    </row>
    <row r="311" spans="1:3" x14ac:dyDescent="0.25">
      <c r="A311" s="16">
        <v>43529</v>
      </c>
      <c r="C311" s="16">
        <v>46272</v>
      </c>
    </row>
    <row r="312" spans="1:3" x14ac:dyDescent="0.25">
      <c r="A312" s="16">
        <v>43574</v>
      </c>
      <c r="C312" s="16">
        <v>46307</v>
      </c>
    </row>
    <row r="313" spans="1:3" x14ac:dyDescent="0.25">
      <c r="A313" s="16">
        <v>43576</v>
      </c>
      <c r="C313" s="16">
        <v>46328</v>
      </c>
    </row>
    <row r="314" spans="1:3" x14ac:dyDescent="0.25">
      <c r="A314" s="16">
        <v>43586</v>
      </c>
      <c r="C314" s="16">
        <v>46341</v>
      </c>
    </row>
    <row r="315" spans="1:3" x14ac:dyDescent="0.25">
      <c r="A315" s="16">
        <v>43636</v>
      </c>
      <c r="C315" s="16">
        <v>46346</v>
      </c>
    </row>
    <row r="316" spans="1:3" x14ac:dyDescent="0.25">
      <c r="A316" s="16">
        <v>43655</v>
      </c>
      <c r="C316" s="16">
        <v>46381</v>
      </c>
    </row>
    <row r="317" spans="1:3" x14ac:dyDescent="0.25">
      <c r="A317" s="16">
        <v>43715</v>
      </c>
      <c r="C317" s="16">
        <v>46388</v>
      </c>
    </row>
    <row r="318" spans="1:3" x14ac:dyDescent="0.25">
      <c r="A318" s="16">
        <v>43750</v>
      </c>
      <c r="C318" s="16">
        <v>46426</v>
      </c>
    </row>
    <row r="319" spans="1:3" x14ac:dyDescent="0.25">
      <c r="A319" s="16">
        <v>43771</v>
      </c>
      <c r="C319" s="16">
        <v>46427</v>
      </c>
    </row>
    <row r="320" spans="1:3" x14ac:dyDescent="0.25">
      <c r="A320" s="16">
        <v>43784</v>
      </c>
      <c r="C320" s="16">
        <v>46472</v>
      </c>
    </row>
    <row r="321" spans="1:3" x14ac:dyDescent="0.25">
      <c r="A321" s="16">
        <v>43789</v>
      </c>
      <c r="C321" s="16">
        <v>46498</v>
      </c>
    </row>
    <row r="322" spans="1:3" x14ac:dyDescent="0.25">
      <c r="A322" s="16">
        <v>43823</v>
      </c>
      <c r="C322" s="16">
        <v>46508</v>
      </c>
    </row>
    <row r="323" spans="1:3" x14ac:dyDescent="0.25">
      <c r="A323" s="16">
        <v>43824</v>
      </c>
      <c r="C323" s="16">
        <v>46534</v>
      </c>
    </row>
    <row r="324" spans="1:3" x14ac:dyDescent="0.25">
      <c r="A324" s="16">
        <v>43830</v>
      </c>
      <c r="C324" s="16">
        <v>46637</v>
      </c>
    </row>
    <row r="325" spans="1:3" x14ac:dyDescent="0.25">
      <c r="A325" s="16">
        <v>43831</v>
      </c>
      <c r="C325" s="16">
        <v>46672</v>
      </c>
    </row>
    <row r="326" spans="1:3" x14ac:dyDescent="0.25">
      <c r="A326" s="16">
        <v>43855</v>
      </c>
      <c r="C326" s="16">
        <v>46693</v>
      </c>
    </row>
    <row r="327" spans="1:3" x14ac:dyDescent="0.25">
      <c r="A327" s="16">
        <v>43885</v>
      </c>
      <c r="C327" s="16">
        <v>46706</v>
      </c>
    </row>
    <row r="328" spans="1:3" x14ac:dyDescent="0.25">
      <c r="A328" s="16">
        <v>43886</v>
      </c>
      <c r="C328" s="16">
        <v>46711</v>
      </c>
    </row>
    <row r="329" spans="1:3" x14ac:dyDescent="0.25">
      <c r="A329" s="16">
        <v>43931</v>
      </c>
      <c r="C329" s="16">
        <v>46746</v>
      </c>
    </row>
    <row r="330" spans="1:3" x14ac:dyDescent="0.25">
      <c r="A330" s="16">
        <v>43942</v>
      </c>
      <c r="C330" s="16">
        <v>46753</v>
      </c>
    </row>
    <row r="331" spans="1:3" x14ac:dyDescent="0.25">
      <c r="A331" s="16">
        <v>43952</v>
      </c>
      <c r="C331" s="16">
        <v>46811</v>
      </c>
    </row>
    <row r="332" spans="1:3" x14ac:dyDescent="0.25">
      <c r="A332" s="16">
        <v>43993</v>
      </c>
      <c r="C332" s="16">
        <v>46812</v>
      </c>
    </row>
    <row r="333" spans="1:3" x14ac:dyDescent="0.25">
      <c r="A333" s="16">
        <v>44021</v>
      </c>
      <c r="C333" s="16">
        <v>46857</v>
      </c>
    </row>
    <row r="334" spans="1:3" x14ac:dyDescent="0.25">
      <c r="A334" s="16">
        <v>44081</v>
      </c>
      <c r="C334" s="16">
        <v>46864</v>
      </c>
    </row>
    <row r="335" spans="1:3" x14ac:dyDescent="0.25">
      <c r="A335" s="16">
        <v>44116</v>
      </c>
      <c r="C335" s="16">
        <v>46874</v>
      </c>
    </row>
    <row r="336" spans="1:3" x14ac:dyDescent="0.25">
      <c r="A336" s="16">
        <v>44137</v>
      </c>
      <c r="C336" s="16">
        <v>46919</v>
      </c>
    </row>
    <row r="337" spans="1:3" x14ac:dyDescent="0.25">
      <c r="A337" s="16">
        <v>44150</v>
      </c>
      <c r="C337" s="16">
        <v>47003</v>
      </c>
    </row>
    <row r="338" spans="1:3" x14ac:dyDescent="0.25">
      <c r="A338" s="16">
        <v>44155</v>
      </c>
      <c r="C338" s="16">
        <v>47038</v>
      </c>
    </row>
    <row r="339" spans="1:3" x14ac:dyDescent="0.25">
      <c r="A339" s="16">
        <v>44189</v>
      </c>
      <c r="C339" s="16">
        <v>47059</v>
      </c>
    </row>
    <row r="340" spans="1:3" x14ac:dyDescent="0.25">
      <c r="A340" s="16">
        <v>44190</v>
      </c>
      <c r="C340" s="16">
        <v>47072</v>
      </c>
    </row>
    <row r="341" spans="1:3" x14ac:dyDescent="0.25">
      <c r="A341" s="16">
        <v>44196</v>
      </c>
      <c r="C341" s="16">
        <v>47077</v>
      </c>
    </row>
    <row r="342" spans="1:3" x14ac:dyDescent="0.25">
      <c r="A342" s="16">
        <v>44197</v>
      </c>
      <c r="C342" s="16">
        <v>47112</v>
      </c>
    </row>
    <row r="343" spans="1:3" x14ac:dyDescent="0.25">
      <c r="A343" s="16">
        <v>44221</v>
      </c>
      <c r="C343" s="16">
        <v>47119</v>
      </c>
    </row>
    <row r="344" spans="1:3" x14ac:dyDescent="0.25">
      <c r="A344" s="16">
        <v>44242</v>
      </c>
      <c r="C344" s="16">
        <v>47161</v>
      </c>
    </row>
    <row r="345" spans="1:3" x14ac:dyDescent="0.25">
      <c r="A345" s="16">
        <v>44243</v>
      </c>
      <c r="C345" s="16">
        <v>47162</v>
      </c>
    </row>
    <row r="346" spans="1:3" x14ac:dyDescent="0.25">
      <c r="A346" s="16">
        <v>44288</v>
      </c>
      <c r="C346" s="16">
        <v>47207</v>
      </c>
    </row>
    <row r="347" spans="1:3" x14ac:dyDescent="0.25">
      <c r="A347" s="16">
        <v>44307</v>
      </c>
      <c r="C347" s="16">
        <v>47229</v>
      </c>
    </row>
    <row r="348" spans="1:3" x14ac:dyDescent="0.25">
      <c r="A348" s="16">
        <v>44317</v>
      </c>
      <c r="C348" s="16">
        <v>47239</v>
      </c>
    </row>
    <row r="349" spans="1:3" x14ac:dyDescent="0.25">
      <c r="A349" s="16">
        <v>44350</v>
      </c>
      <c r="C349" s="16">
        <v>47269</v>
      </c>
    </row>
    <row r="350" spans="1:3" x14ac:dyDescent="0.25">
      <c r="A350" s="16">
        <v>44386</v>
      </c>
      <c r="C350" s="16">
        <v>47368</v>
      </c>
    </row>
    <row r="351" spans="1:3" x14ac:dyDescent="0.25">
      <c r="A351" s="16">
        <v>44446</v>
      </c>
      <c r="C351" s="16">
        <v>47403</v>
      </c>
    </row>
    <row r="352" spans="1:3" x14ac:dyDescent="0.25">
      <c r="A352" s="16">
        <v>44481</v>
      </c>
      <c r="C352" s="16">
        <v>47424</v>
      </c>
    </row>
    <row r="353" spans="1:3" x14ac:dyDescent="0.25">
      <c r="A353" s="16">
        <v>44502</v>
      </c>
      <c r="C353" s="16">
        <v>47437</v>
      </c>
    </row>
    <row r="354" spans="1:3" x14ac:dyDescent="0.25">
      <c r="A354" s="16">
        <v>44515</v>
      </c>
      <c r="C354" s="16">
        <v>47442</v>
      </c>
    </row>
    <row r="355" spans="1:3" x14ac:dyDescent="0.25">
      <c r="A355" s="16">
        <v>44520</v>
      </c>
      <c r="C355" s="16">
        <v>47477</v>
      </c>
    </row>
    <row r="356" spans="1:3" x14ac:dyDescent="0.25">
      <c r="A356" s="16">
        <v>44554</v>
      </c>
      <c r="C356" s="16">
        <v>47484</v>
      </c>
    </row>
    <row r="357" spans="1:3" x14ac:dyDescent="0.25">
      <c r="A357" s="16">
        <v>44555</v>
      </c>
      <c r="C357" s="16">
        <v>47546</v>
      </c>
    </row>
    <row r="358" spans="1:3" x14ac:dyDescent="0.25">
      <c r="A358" s="16">
        <v>44561</v>
      </c>
      <c r="C358" s="16">
        <v>47547</v>
      </c>
    </row>
    <row r="359" spans="1:3" x14ac:dyDescent="0.25">
      <c r="A359" s="16">
        <v>44562</v>
      </c>
      <c r="C359" s="16">
        <v>47592</v>
      </c>
    </row>
    <row r="360" spans="1:3" x14ac:dyDescent="0.25">
      <c r="A360" s="16">
        <v>44620</v>
      </c>
      <c r="C360" s="16">
        <v>47594</v>
      </c>
    </row>
    <row r="361" spans="1:3" x14ac:dyDescent="0.25">
      <c r="A361" s="16">
        <v>44621</v>
      </c>
      <c r="C361" s="16">
        <v>47604</v>
      </c>
    </row>
    <row r="362" spans="1:3" x14ac:dyDescent="0.25">
      <c r="A362" s="16">
        <v>44666</v>
      </c>
      <c r="C362" s="16">
        <v>47654</v>
      </c>
    </row>
    <row r="363" spans="1:3" x14ac:dyDescent="0.25">
      <c r="A363" s="16">
        <v>44672</v>
      </c>
      <c r="C363" s="16">
        <v>47733</v>
      </c>
    </row>
    <row r="364" spans="1:3" x14ac:dyDescent="0.25">
      <c r="A364" s="16">
        <v>44682</v>
      </c>
      <c r="C364" s="16">
        <v>47768</v>
      </c>
    </row>
    <row r="365" spans="1:3" x14ac:dyDescent="0.25">
      <c r="A365" s="16">
        <v>44728</v>
      </c>
      <c r="C365" s="16">
        <v>47789</v>
      </c>
    </row>
    <row r="366" spans="1:3" x14ac:dyDescent="0.25">
      <c r="A366" s="16">
        <v>44811</v>
      </c>
      <c r="C366" s="16">
        <v>47802</v>
      </c>
    </row>
    <row r="367" spans="1:3" x14ac:dyDescent="0.25">
      <c r="A367" s="16">
        <v>44846</v>
      </c>
      <c r="C367" s="16">
        <v>47807</v>
      </c>
    </row>
    <row r="368" spans="1:3" x14ac:dyDescent="0.25">
      <c r="A368" s="16">
        <v>44867</v>
      </c>
      <c r="C368" s="16">
        <v>47842</v>
      </c>
    </row>
    <row r="369" spans="1:3" x14ac:dyDescent="0.25">
      <c r="A369" s="16">
        <v>44880</v>
      </c>
      <c r="C369" s="16">
        <v>47849</v>
      </c>
    </row>
    <row r="370" spans="1:3" x14ac:dyDescent="0.25">
      <c r="A370" s="16">
        <v>44919</v>
      </c>
      <c r="C370" s="16">
        <v>47903</v>
      </c>
    </row>
    <row r="371" spans="1:3" x14ac:dyDescent="0.25">
      <c r="A371" s="16">
        <v>44920</v>
      </c>
      <c r="C371" s="16">
        <v>47904</v>
      </c>
    </row>
    <row r="372" spans="1:3" x14ac:dyDescent="0.25">
      <c r="A372" s="16">
        <v>44926</v>
      </c>
      <c r="C372" s="16">
        <v>47949</v>
      </c>
    </row>
    <row r="373" spans="1:3" x14ac:dyDescent="0.25">
      <c r="A373" s="16">
        <v>44927</v>
      </c>
      <c r="C373" s="16">
        <v>47959</v>
      </c>
    </row>
    <row r="374" spans="1:3" x14ac:dyDescent="0.25">
      <c r="A374" s="16">
        <v>44977</v>
      </c>
      <c r="C374" s="16">
        <v>47969</v>
      </c>
    </row>
    <row r="375" spans="1:3" x14ac:dyDescent="0.25">
      <c r="A375" s="16">
        <v>44978</v>
      </c>
      <c r="C375" s="16">
        <v>48011</v>
      </c>
    </row>
    <row r="376" spans="1:3" x14ac:dyDescent="0.25">
      <c r="A376" s="16">
        <v>45023</v>
      </c>
      <c r="C376" s="16">
        <v>48098</v>
      </c>
    </row>
    <row r="377" spans="1:3" x14ac:dyDescent="0.25">
      <c r="A377" s="16">
        <v>45037</v>
      </c>
      <c r="C377" s="16">
        <v>48133</v>
      </c>
    </row>
    <row r="378" spans="1:3" x14ac:dyDescent="0.25">
      <c r="A378" s="16">
        <v>45047</v>
      </c>
      <c r="C378" s="16">
        <v>48154</v>
      </c>
    </row>
    <row r="379" spans="1:3" x14ac:dyDescent="0.25">
      <c r="A379" s="16">
        <v>45085</v>
      </c>
      <c r="C379" s="16">
        <v>48167</v>
      </c>
    </row>
    <row r="380" spans="1:3" x14ac:dyDescent="0.25">
      <c r="A380" s="16">
        <v>45176</v>
      </c>
      <c r="C380" s="16">
        <v>48172</v>
      </c>
    </row>
    <row r="381" spans="1:3" x14ac:dyDescent="0.25">
      <c r="A381" s="16">
        <v>45211</v>
      </c>
      <c r="C381" s="16">
        <v>48207</v>
      </c>
    </row>
    <row r="382" spans="1:3" x14ac:dyDescent="0.25">
      <c r="A382" s="16">
        <v>45232</v>
      </c>
      <c r="C382" s="16">
        <v>48214</v>
      </c>
    </row>
    <row r="383" spans="1:3" x14ac:dyDescent="0.25">
      <c r="A383" s="16">
        <v>45245</v>
      </c>
      <c r="C383" s="16">
        <v>48253</v>
      </c>
    </row>
    <row r="384" spans="1:3" x14ac:dyDescent="0.25">
      <c r="A384" s="16">
        <v>45284</v>
      </c>
      <c r="C384" s="16">
        <v>48254</v>
      </c>
    </row>
    <row r="385" spans="1:3" x14ac:dyDescent="0.25">
      <c r="A385" s="16">
        <v>45285</v>
      </c>
      <c r="C385" s="16">
        <v>48299</v>
      </c>
    </row>
    <row r="386" spans="1:3" x14ac:dyDescent="0.25">
      <c r="A386" s="16">
        <v>45291</v>
      </c>
      <c r="C386" s="16">
        <v>48325</v>
      </c>
    </row>
    <row r="387" spans="1:3" x14ac:dyDescent="0.25">
      <c r="A387" s="16">
        <v>45292</v>
      </c>
      <c r="C387" s="16">
        <v>48335</v>
      </c>
    </row>
    <row r="388" spans="1:3" x14ac:dyDescent="0.25">
      <c r="A388" s="16">
        <v>45334</v>
      </c>
      <c r="C388" s="16">
        <v>48361</v>
      </c>
    </row>
    <row r="389" spans="1:3" x14ac:dyDescent="0.25">
      <c r="A389" s="16">
        <v>45335</v>
      </c>
      <c r="C389" s="16">
        <v>48464</v>
      </c>
    </row>
    <row r="390" spans="1:3" x14ac:dyDescent="0.25">
      <c r="A390" s="16">
        <v>45380</v>
      </c>
      <c r="C390" s="16">
        <v>48499</v>
      </c>
    </row>
    <row r="391" spans="1:3" x14ac:dyDescent="0.25">
      <c r="A391" s="16">
        <v>45403</v>
      </c>
      <c r="C391" s="16">
        <v>48520</v>
      </c>
    </row>
    <row r="392" spans="1:3" x14ac:dyDescent="0.25">
      <c r="A392" s="16">
        <v>45413</v>
      </c>
      <c r="C392" s="16">
        <v>48533</v>
      </c>
    </row>
    <row r="393" spans="1:3" x14ac:dyDescent="0.25">
      <c r="A393" s="16">
        <v>45442</v>
      </c>
      <c r="C393" s="16">
        <v>48538</v>
      </c>
    </row>
    <row r="394" spans="1:3" x14ac:dyDescent="0.25">
      <c r="A394" s="16">
        <v>45542</v>
      </c>
      <c r="C394" s="16">
        <v>48573</v>
      </c>
    </row>
    <row r="395" spans="1:3" x14ac:dyDescent="0.25">
      <c r="A395" s="16">
        <v>45577</v>
      </c>
      <c r="C395" s="16">
        <v>48580</v>
      </c>
    </row>
    <row r="396" spans="1:3" x14ac:dyDescent="0.25">
      <c r="A396" s="16">
        <v>45598</v>
      </c>
      <c r="C396" s="16">
        <v>48638</v>
      </c>
    </row>
    <row r="397" spans="1:3" x14ac:dyDescent="0.25">
      <c r="A397" s="16">
        <v>45611</v>
      </c>
      <c r="C397" s="16">
        <v>48639</v>
      </c>
    </row>
    <row r="398" spans="1:3" x14ac:dyDescent="0.25">
      <c r="A398" s="16">
        <v>45616</v>
      </c>
      <c r="C398" s="16">
        <v>48684</v>
      </c>
    </row>
    <row r="399" spans="1:3" x14ac:dyDescent="0.25">
      <c r="A399" s="16">
        <v>45650</v>
      </c>
      <c r="C399" s="16">
        <v>48690</v>
      </c>
    </row>
    <row r="400" spans="1:3" x14ac:dyDescent="0.25">
      <c r="A400" s="16">
        <v>45651</v>
      </c>
      <c r="C400" s="16">
        <v>48700</v>
      </c>
    </row>
    <row r="401" spans="1:3" x14ac:dyDescent="0.25">
      <c r="A401" s="16">
        <v>45657</v>
      </c>
      <c r="C401" s="16">
        <v>48746</v>
      </c>
    </row>
    <row r="402" spans="1:3" x14ac:dyDescent="0.25">
      <c r="A402" s="16">
        <v>45658</v>
      </c>
      <c r="C402" s="16">
        <v>48829</v>
      </c>
    </row>
    <row r="403" spans="1:3" x14ac:dyDescent="0.25">
      <c r="A403" s="16">
        <v>45719</v>
      </c>
      <c r="C403" s="16">
        <v>48864</v>
      </c>
    </row>
    <row r="404" spans="1:3" x14ac:dyDescent="0.25">
      <c r="A404" s="16">
        <v>45720</v>
      </c>
      <c r="C404" s="16">
        <v>48885</v>
      </c>
    </row>
    <row r="405" spans="1:3" x14ac:dyDescent="0.25">
      <c r="A405" s="16">
        <v>45765</v>
      </c>
      <c r="C405" s="16">
        <v>48898</v>
      </c>
    </row>
    <row r="406" spans="1:3" x14ac:dyDescent="0.25">
      <c r="A406" s="16">
        <v>45768</v>
      </c>
      <c r="C406" s="16">
        <v>48903</v>
      </c>
    </row>
    <row r="407" spans="1:3" x14ac:dyDescent="0.25">
      <c r="A407" s="16">
        <v>45778</v>
      </c>
      <c r="C407" s="16">
        <v>48938</v>
      </c>
    </row>
    <row r="408" spans="1:3" x14ac:dyDescent="0.25">
      <c r="A408" s="16">
        <v>45827</v>
      </c>
      <c r="C408" s="16">
        <v>48945</v>
      </c>
    </row>
    <row r="409" spans="1:3" x14ac:dyDescent="0.25">
      <c r="A409" s="16">
        <v>45907</v>
      </c>
      <c r="C409" s="16">
        <v>48995</v>
      </c>
    </row>
    <row r="410" spans="1:3" x14ac:dyDescent="0.25">
      <c r="A410" s="16">
        <v>45942</v>
      </c>
      <c r="C410" s="16">
        <v>48996</v>
      </c>
    </row>
    <row r="411" spans="1:3" x14ac:dyDescent="0.25">
      <c r="A411" s="16">
        <v>45963</v>
      </c>
      <c r="C411" s="16">
        <v>49041</v>
      </c>
    </row>
    <row r="412" spans="1:3" x14ac:dyDescent="0.25">
      <c r="A412" s="16">
        <v>45976</v>
      </c>
      <c r="C412" s="16">
        <v>49055</v>
      </c>
    </row>
    <row r="413" spans="1:3" x14ac:dyDescent="0.25">
      <c r="A413" s="16">
        <v>45981</v>
      </c>
      <c r="C413" s="16">
        <v>49065</v>
      </c>
    </row>
    <row r="414" spans="1:3" x14ac:dyDescent="0.25">
      <c r="A414" s="16">
        <v>46015</v>
      </c>
      <c r="C414" s="16">
        <v>49103</v>
      </c>
    </row>
    <row r="415" spans="1:3" x14ac:dyDescent="0.25">
      <c r="A415" s="16">
        <v>46016</v>
      </c>
      <c r="C415" s="16">
        <v>49194</v>
      </c>
    </row>
    <row r="416" spans="1:3" x14ac:dyDescent="0.25">
      <c r="A416" s="16">
        <v>46022</v>
      </c>
      <c r="C416" s="16">
        <v>49229</v>
      </c>
    </row>
    <row r="417" spans="1:3" x14ac:dyDescent="0.25">
      <c r="A417" s="16">
        <v>46023</v>
      </c>
      <c r="C417" s="16">
        <v>49250</v>
      </c>
    </row>
    <row r="418" spans="1:3" x14ac:dyDescent="0.25">
      <c r="A418" s="16">
        <v>46069</v>
      </c>
      <c r="C418" s="16">
        <v>49263</v>
      </c>
    </row>
    <row r="419" spans="1:3" x14ac:dyDescent="0.25">
      <c r="A419" s="16">
        <v>46070</v>
      </c>
      <c r="C419" s="16">
        <v>49268</v>
      </c>
    </row>
    <row r="420" spans="1:3" x14ac:dyDescent="0.25">
      <c r="A420" s="16">
        <v>46115</v>
      </c>
      <c r="C420" s="16">
        <v>49303</v>
      </c>
    </row>
    <row r="421" spans="1:3" x14ac:dyDescent="0.25">
      <c r="A421" s="16">
        <v>46133</v>
      </c>
      <c r="C421" s="16">
        <v>49310</v>
      </c>
    </row>
    <row r="422" spans="1:3" x14ac:dyDescent="0.25">
      <c r="A422" s="16">
        <v>46143</v>
      </c>
      <c r="C422" s="16">
        <v>49345</v>
      </c>
    </row>
    <row r="423" spans="1:3" x14ac:dyDescent="0.25">
      <c r="A423" s="16">
        <v>46177</v>
      </c>
      <c r="C423" s="16">
        <v>49346</v>
      </c>
    </row>
    <row r="424" spans="1:3" x14ac:dyDescent="0.25">
      <c r="A424" s="16">
        <v>46272</v>
      </c>
      <c r="C424" s="16">
        <v>49391</v>
      </c>
    </row>
    <row r="425" spans="1:3" x14ac:dyDescent="0.25">
      <c r="A425" s="16">
        <v>46307</v>
      </c>
      <c r="C425" s="16">
        <v>49420</v>
      </c>
    </row>
    <row r="426" spans="1:3" x14ac:dyDescent="0.25">
      <c r="A426" s="16">
        <v>46328</v>
      </c>
      <c r="C426" s="16">
        <v>49430</v>
      </c>
    </row>
    <row r="427" spans="1:3" x14ac:dyDescent="0.25">
      <c r="A427" s="16">
        <v>46341</v>
      </c>
      <c r="C427" s="16">
        <v>49453</v>
      </c>
    </row>
    <row r="428" spans="1:3" x14ac:dyDescent="0.25">
      <c r="A428" s="16">
        <v>46346</v>
      </c>
      <c r="C428" s="16">
        <v>49559</v>
      </c>
    </row>
    <row r="429" spans="1:3" x14ac:dyDescent="0.25">
      <c r="A429" s="16">
        <v>46380</v>
      </c>
      <c r="C429" s="16">
        <v>49594</v>
      </c>
    </row>
    <row r="430" spans="1:3" x14ac:dyDescent="0.25">
      <c r="A430" s="16">
        <v>46381</v>
      </c>
      <c r="C430" s="16">
        <v>49615</v>
      </c>
    </row>
    <row r="431" spans="1:3" x14ac:dyDescent="0.25">
      <c r="A431" s="16">
        <v>46387</v>
      </c>
      <c r="C431" s="16">
        <v>49628</v>
      </c>
    </row>
    <row r="432" spans="1:3" x14ac:dyDescent="0.25">
      <c r="A432" s="16">
        <v>46388</v>
      </c>
      <c r="C432" s="16">
        <v>49633</v>
      </c>
    </row>
    <row r="433" spans="1:3" x14ac:dyDescent="0.25">
      <c r="A433" s="16">
        <v>46426</v>
      </c>
      <c r="C433" s="16">
        <v>49668</v>
      </c>
    </row>
    <row r="434" spans="1:3" x14ac:dyDescent="0.25">
      <c r="A434" s="16">
        <v>46427</v>
      </c>
      <c r="C434" s="16">
        <v>49675</v>
      </c>
    </row>
    <row r="435" spans="1:3" x14ac:dyDescent="0.25">
      <c r="A435" s="16">
        <v>46472</v>
      </c>
      <c r="C435" s="16">
        <v>49730</v>
      </c>
    </row>
    <row r="436" spans="1:3" x14ac:dyDescent="0.25">
      <c r="A436" s="16">
        <v>46498</v>
      </c>
      <c r="C436" s="16">
        <v>49731</v>
      </c>
    </row>
    <row r="437" spans="1:3" x14ac:dyDescent="0.25">
      <c r="A437" s="16">
        <v>46508</v>
      </c>
      <c r="C437" s="16">
        <v>49776</v>
      </c>
    </row>
    <row r="438" spans="1:3" x14ac:dyDescent="0.25">
      <c r="A438" s="16">
        <v>46534</v>
      </c>
      <c r="C438" s="16">
        <v>49786</v>
      </c>
    </row>
    <row r="439" spans="1:3" x14ac:dyDescent="0.25">
      <c r="A439" s="16">
        <v>46637</v>
      </c>
      <c r="C439" s="16">
        <v>49796</v>
      </c>
    </row>
    <row r="440" spans="1:3" x14ac:dyDescent="0.25">
      <c r="A440" s="16">
        <v>46672</v>
      </c>
      <c r="C440" s="16">
        <v>49838</v>
      </c>
    </row>
    <row r="441" spans="1:3" x14ac:dyDescent="0.25">
      <c r="A441" s="16">
        <v>46693</v>
      </c>
      <c r="C441" s="16">
        <v>49925</v>
      </c>
    </row>
    <row r="442" spans="1:3" x14ac:dyDescent="0.25">
      <c r="A442" s="16">
        <v>46706</v>
      </c>
      <c r="C442" s="16">
        <v>49960</v>
      </c>
    </row>
    <row r="443" spans="1:3" x14ac:dyDescent="0.25">
      <c r="A443" s="16">
        <v>46711</v>
      </c>
      <c r="C443" s="16">
        <v>49981</v>
      </c>
    </row>
    <row r="444" spans="1:3" x14ac:dyDescent="0.25">
      <c r="A444" s="16">
        <v>46745</v>
      </c>
      <c r="C444" s="16">
        <v>49994</v>
      </c>
    </row>
    <row r="445" spans="1:3" x14ac:dyDescent="0.25">
      <c r="A445" s="16">
        <v>46746</v>
      </c>
      <c r="C445" s="16">
        <v>49999</v>
      </c>
    </row>
    <row r="446" spans="1:3" x14ac:dyDescent="0.25">
      <c r="A446" s="16">
        <v>46752</v>
      </c>
      <c r="C446" s="16">
        <v>50034</v>
      </c>
    </row>
    <row r="447" spans="1:3" x14ac:dyDescent="0.25">
      <c r="A447" s="16">
        <v>46753</v>
      </c>
      <c r="C447" s="16">
        <v>50041</v>
      </c>
    </row>
    <row r="448" spans="1:3" x14ac:dyDescent="0.25">
      <c r="A448" s="16">
        <v>46811</v>
      </c>
      <c r="C448" s="16">
        <v>50087</v>
      </c>
    </row>
    <row r="449" spans="1:3" x14ac:dyDescent="0.25">
      <c r="A449" s="16">
        <v>46812</v>
      </c>
      <c r="C449" s="16">
        <v>50088</v>
      </c>
    </row>
    <row r="450" spans="1:3" x14ac:dyDescent="0.25">
      <c r="A450" s="16">
        <v>46857</v>
      </c>
      <c r="C450" s="16">
        <v>50133</v>
      </c>
    </row>
    <row r="451" spans="1:3" x14ac:dyDescent="0.25">
      <c r="A451" s="16">
        <v>46864</v>
      </c>
      <c r="C451" s="16">
        <v>50151</v>
      </c>
    </row>
    <row r="452" spans="1:3" x14ac:dyDescent="0.25">
      <c r="A452" s="16">
        <v>46874</v>
      </c>
      <c r="C452" s="16">
        <v>50161</v>
      </c>
    </row>
    <row r="453" spans="1:3" x14ac:dyDescent="0.25">
      <c r="A453" s="16">
        <v>46919</v>
      </c>
      <c r="C453" s="16">
        <v>50195</v>
      </c>
    </row>
    <row r="454" spans="1:3" x14ac:dyDescent="0.25">
      <c r="A454" s="16">
        <v>47003</v>
      </c>
      <c r="C454" s="16">
        <v>50290</v>
      </c>
    </row>
    <row r="455" spans="1:3" x14ac:dyDescent="0.25">
      <c r="A455" s="16">
        <v>47038</v>
      </c>
      <c r="C455" s="16">
        <v>50325</v>
      </c>
    </row>
    <row r="456" spans="1:3" x14ac:dyDescent="0.25">
      <c r="A456" s="16">
        <v>47059</v>
      </c>
      <c r="C456" s="16">
        <v>50346</v>
      </c>
    </row>
    <row r="457" spans="1:3" x14ac:dyDescent="0.25">
      <c r="A457" s="16">
        <v>47072</v>
      </c>
      <c r="C457" s="16">
        <v>50359</v>
      </c>
    </row>
    <row r="458" spans="1:3" x14ac:dyDescent="0.25">
      <c r="A458" s="16">
        <v>47077</v>
      </c>
      <c r="C458" s="16">
        <v>50364</v>
      </c>
    </row>
    <row r="459" spans="1:3" x14ac:dyDescent="0.25">
      <c r="A459" s="16">
        <v>47111</v>
      </c>
      <c r="C459" s="16">
        <v>50399</v>
      </c>
    </row>
    <row r="460" spans="1:3" x14ac:dyDescent="0.25">
      <c r="A460" s="16">
        <v>47112</v>
      </c>
      <c r="C460" s="16">
        <v>50406</v>
      </c>
    </row>
    <row r="461" spans="1:3" x14ac:dyDescent="0.25">
      <c r="A461" s="16">
        <v>47118</v>
      </c>
      <c r="C461" s="16">
        <v>50472</v>
      </c>
    </row>
    <row r="462" spans="1:3" x14ac:dyDescent="0.25">
      <c r="A462" s="16">
        <v>47119</v>
      </c>
      <c r="C462" s="16">
        <v>50473</v>
      </c>
    </row>
    <row r="463" spans="1:3" x14ac:dyDescent="0.25">
      <c r="A463" s="16">
        <v>47161</v>
      </c>
      <c r="C463" s="16">
        <v>50516</v>
      </c>
    </row>
    <row r="464" spans="1:3" x14ac:dyDescent="0.25">
      <c r="A464" s="16">
        <v>47162</v>
      </c>
      <c r="C464" s="16">
        <v>50518</v>
      </c>
    </row>
    <row r="465" spans="1:3" x14ac:dyDescent="0.25">
      <c r="A465" s="16">
        <v>47207</v>
      </c>
      <c r="C465" s="16">
        <v>50526</v>
      </c>
    </row>
    <row r="466" spans="1:3" x14ac:dyDescent="0.25">
      <c r="A466" s="16">
        <v>47229</v>
      </c>
      <c r="C466" s="16">
        <v>50580</v>
      </c>
    </row>
    <row r="467" spans="1:3" x14ac:dyDescent="0.25">
      <c r="A467" s="16">
        <v>47239</v>
      </c>
      <c r="C467" s="16">
        <v>50655</v>
      </c>
    </row>
    <row r="468" spans="1:3" x14ac:dyDescent="0.25">
      <c r="A468" s="16">
        <v>47269</v>
      </c>
      <c r="C468" s="16">
        <v>50690</v>
      </c>
    </row>
    <row r="469" spans="1:3" x14ac:dyDescent="0.25">
      <c r="A469" s="16">
        <v>47368</v>
      </c>
      <c r="C469" s="16">
        <v>50711</v>
      </c>
    </row>
    <row r="470" spans="1:3" x14ac:dyDescent="0.25">
      <c r="A470" s="16">
        <v>47403</v>
      </c>
      <c r="C470" s="16">
        <v>50724</v>
      </c>
    </row>
    <row r="471" spans="1:3" x14ac:dyDescent="0.25">
      <c r="A471" s="16">
        <v>47424</v>
      </c>
      <c r="C471" s="16">
        <v>50729</v>
      </c>
    </row>
    <row r="472" spans="1:3" x14ac:dyDescent="0.25">
      <c r="A472" s="16">
        <v>47437</v>
      </c>
      <c r="C472" s="16">
        <v>50764</v>
      </c>
    </row>
    <row r="473" spans="1:3" x14ac:dyDescent="0.25">
      <c r="A473" s="16">
        <v>47442</v>
      </c>
      <c r="C473" s="16">
        <v>50771</v>
      </c>
    </row>
    <row r="474" spans="1:3" x14ac:dyDescent="0.25">
      <c r="A474" s="16">
        <v>47476</v>
      </c>
      <c r="C474" s="16">
        <v>50822</v>
      </c>
    </row>
    <row r="475" spans="1:3" x14ac:dyDescent="0.25">
      <c r="A475" s="16">
        <v>47477</v>
      </c>
      <c r="C475" s="16">
        <v>50823</v>
      </c>
    </row>
    <row r="476" spans="1:3" x14ac:dyDescent="0.25">
      <c r="A476" s="16">
        <v>47483</v>
      </c>
      <c r="C476" s="16">
        <v>50868</v>
      </c>
    </row>
    <row r="477" spans="1:3" x14ac:dyDescent="0.25">
      <c r="A477" s="16">
        <v>47484</v>
      </c>
      <c r="C477" s="16">
        <v>50881</v>
      </c>
    </row>
    <row r="478" spans="1:3" x14ac:dyDescent="0.25">
      <c r="A478" s="16">
        <v>47546</v>
      </c>
      <c r="C478" s="16">
        <v>50891</v>
      </c>
    </row>
    <row r="479" spans="1:3" x14ac:dyDescent="0.25">
      <c r="A479" s="16">
        <v>47547</v>
      </c>
      <c r="C479" s="16">
        <v>50930</v>
      </c>
    </row>
    <row r="480" spans="1:3" x14ac:dyDescent="0.25">
      <c r="A480" s="16">
        <v>47592</v>
      </c>
      <c r="C480" s="16">
        <v>51020</v>
      </c>
    </row>
    <row r="481" spans="1:3" x14ac:dyDescent="0.25">
      <c r="A481" s="16">
        <v>47594</v>
      </c>
      <c r="C481" s="16">
        <v>51055</v>
      </c>
    </row>
    <row r="482" spans="1:3" x14ac:dyDescent="0.25">
      <c r="A482" s="16">
        <v>47604</v>
      </c>
      <c r="C482" s="16">
        <v>51076</v>
      </c>
    </row>
    <row r="483" spans="1:3" x14ac:dyDescent="0.25">
      <c r="A483" s="16">
        <v>47654</v>
      </c>
      <c r="C483" s="16">
        <v>51089</v>
      </c>
    </row>
    <row r="484" spans="1:3" x14ac:dyDescent="0.25">
      <c r="A484" s="16">
        <v>47733</v>
      </c>
      <c r="C484" s="16">
        <v>51094</v>
      </c>
    </row>
    <row r="485" spans="1:3" x14ac:dyDescent="0.25">
      <c r="A485" s="16">
        <v>47768</v>
      </c>
      <c r="C485" s="16">
        <v>51129</v>
      </c>
    </row>
    <row r="486" spans="1:3" x14ac:dyDescent="0.25">
      <c r="A486" s="16">
        <v>47789</v>
      </c>
      <c r="C486" s="16">
        <v>51136</v>
      </c>
    </row>
    <row r="487" spans="1:3" x14ac:dyDescent="0.25">
      <c r="A487" s="16">
        <v>47802</v>
      </c>
      <c r="C487" s="16">
        <v>51179</v>
      </c>
    </row>
    <row r="488" spans="1:3" x14ac:dyDescent="0.25">
      <c r="A488" s="16">
        <v>47807</v>
      </c>
      <c r="C488" s="16">
        <v>51180</v>
      </c>
    </row>
    <row r="489" spans="1:3" x14ac:dyDescent="0.25">
      <c r="A489" s="16">
        <v>47841</v>
      </c>
      <c r="C489" s="16">
        <v>51225</v>
      </c>
    </row>
    <row r="490" spans="1:3" x14ac:dyDescent="0.25">
      <c r="A490" s="16">
        <v>47842</v>
      </c>
      <c r="C490" s="16">
        <v>51247</v>
      </c>
    </row>
    <row r="491" spans="1:3" x14ac:dyDescent="0.25">
      <c r="A491" s="16">
        <v>47848</v>
      </c>
      <c r="C491" s="16">
        <v>51257</v>
      </c>
    </row>
    <row r="492" spans="1:3" x14ac:dyDescent="0.25">
      <c r="A492" s="16">
        <v>47849</v>
      </c>
      <c r="C492" s="16">
        <v>51287</v>
      </c>
    </row>
    <row r="493" spans="1:3" x14ac:dyDescent="0.25">
      <c r="A493" s="16">
        <v>47903</v>
      </c>
      <c r="C493" s="16">
        <v>51386</v>
      </c>
    </row>
    <row r="494" spans="1:3" x14ac:dyDescent="0.25">
      <c r="A494" s="16">
        <v>47904</v>
      </c>
      <c r="C494" s="16">
        <v>51421</v>
      </c>
    </row>
    <row r="495" spans="1:3" x14ac:dyDescent="0.25">
      <c r="A495" s="16">
        <v>47949</v>
      </c>
      <c r="C495" s="16">
        <v>51442</v>
      </c>
    </row>
    <row r="496" spans="1:3" x14ac:dyDescent="0.25">
      <c r="A496" s="16">
        <v>47959</v>
      </c>
      <c r="C496" s="16">
        <v>51455</v>
      </c>
    </row>
    <row r="497" spans="1:3" x14ac:dyDescent="0.25">
      <c r="A497" s="16">
        <v>47969</v>
      </c>
      <c r="C497" s="16">
        <v>51460</v>
      </c>
    </row>
    <row r="498" spans="1:3" x14ac:dyDescent="0.25">
      <c r="A498" s="16">
        <v>48011</v>
      </c>
      <c r="C498" s="16">
        <v>51495</v>
      </c>
    </row>
    <row r="499" spans="1:3" x14ac:dyDescent="0.25">
      <c r="A499" s="16">
        <v>48098</v>
      </c>
      <c r="C499" s="16">
        <v>51502</v>
      </c>
    </row>
    <row r="500" spans="1:3" x14ac:dyDescent="0.25">
      <c r="A500" s="16">
        <v>48133</v>
      </c>
      <c r="C500" s="16">
        <v>51564</v>
      </c>
    </row>
    <row r="501" spans="1:3" x14ac:dyDescent="0.25">
      <c r="A501" s="16">
        <v>48154</v>
      </c>
      <c r="C501" s="16">
        <v>51565</v>
      </c>
    </row>
    <row r="502" spans="1:3" x14ac:dyDescent="0.25">
      <c r="A502" s="16">
        <v>48167</v>
      </c>
      <c r="C502" s="16">
        <v>51610</v>
      </c>
    </row>
    <row r="503" spans="1:3" x14ac:dyDescent="0.25">
      <c r="A503" s="16">
        <v>48172</v>
      </c>
      <c r="C503" s="16">
        <v>51612</v>
      </c>
    </row>
    <row r="504" spans="1:3" x14ac:dyDescent="0.25">
      <c r="A504" s="16">
        <v>48206</v>
      </c>
      <c r="C504" s="16">
        <v>51622</v>
      </c>
    </row>
    <row r="505" spans="1:3" x14ac:dyDescent="0.25">
      <c r="A505" s="16">
        <v>48207</v>
      </c>
      <c r="C505" s="16">
        <v>51672</v>
      </c>
    </row>
    <row r="506" spans="1:3" x14ac:dyDescent="0.25">
      <c r="A506" s="16">
        <v>48213</v>
      </c>
      <c r="C506" s="16">
        <v>51751</v>
      </c>
    </row>
    <row r="507" spans="1:3" x14ac:dyDescent="0.25">
      <c r="A507" s="16">
        <v>48214</v>
      </c>
      <c r="C507" s="16">
        <v>51786</v>
      </c>
    </row>
    <row r="508" spans="1:3" x14ac:dyDescent="0.25">
      <c r="A508" s="16">
        <v>48253</v>
      </c>
      <c r="C508" s="16">
        <v>51807</v>
      </c>
    </row>
    <row r="509" spans="1:3" x14ac:dyDescent="0.25">
      <c r="A509" s="16">
        <v>48254</v>
      </c>
      <c r="C509" s="16">
        <v>51820</v>
      </c>
    </row>
    <row r="510" spans="1:3" x14ac:dyDescent="0.25">
      <c r="A510" s="16">
        <v>48299</v>
      </c>
      <c r="C510" s="16">
        <v>51825</v>
      </c>
    </row>
    <row r="511" spans="1:3" x14ac:dyDescent="0.25">
      <c r="A511" s="16">
        <v>48325</v>
      </c>
      <c r="C511" s="16">
        <v>51860</v>
      </c>
    </row>
    <row r="512" spans="1:3" x14ac:dyDescent="0.25">
      <c r="A512" s="16">
        <v>48335</v>
      </c>
      <c r="C512" s="16">
        <v>51867</v>
      </c>
    </row>
    <row r="513" spans="1:3" x14ac:dyDescent="0.25">
      <c r="A513" s="16">
        <v>48361</v>
      </c>
      <c r="C513" s="16">
        <v>51914</v>
      </c>
    </row>
    <row r="514" spans="1:3" x14ac:dyDescent="0.25">
      <c r="A514" s="16">
        <v>48464</v>
      </c>
      <c r="C514" s="16">
        <v>51915</v>
      </c>
    </row>
    <row r="515" spans="1:3" x14ac:dyDescent="0.25">
      <c r="A515" s="16">
        <v>48499</v>
      </c>
      <c r="C515" s="16">
        <v>51960</v>
      </c>
    </row>
    <row r="516" spans="1:3" x14ac:dyDescent="0.25">
      <c r="A516" s="16">
        <v>48520</v>
      </c>
      <c r="C516" s="16">
        <v>51977</v>
      </c>
    </row>
    <row r="517" spans="1:3" x14ac:dyDescent="0.25">
      <c r="A517" s="16">
        <v>48533</v>
      </c>
      <c r="C517" s="16">
        <v>51987</v>
      </c>
    </row>
    <row r="518" spans="1:3" x14ac:dyDescent="0.25">
      <c r="A518" s="16">
        <v>48538</v>
      </c>
      <c r="C518" s="16">
        <v>52022</v>
      </c>
    </row>
    <row r="519" spans="1:3" x14ac:dyDescent="0.25">
      <c r="A519" s="16">
        <v>48572</v>
      </c>
      <c r="C519" s="16">
        <v>52116</v>
      </c>
    </row>
    <row r="520" spans="1:3" x14ac:dyDescent="0.25">
      <c r="A520" s="16">
        <v>48573</v>
      </c>
      <c r="C520" s="16">
        <v>52151</v>
      </c>
    </row>
    <row r="521" spans="1:3" x14ac:dyDescent="0.25">
      <c r="A521" s="16">
        <v>48579</v>
      </c>
      <c r="C521" s="16">
        <v>52172</v>
      </c>
    </row>
    <row r="522" spans="1:3" x14ac:dyDescent="0.25">
      <c r="A522" s="16">
        <v>48580</v>
      </c>
      <c r="C522" s="16">
        <v>52185</v>
      </c>
    </row>
    <row r="523" spans="1:3" x14ac:dyDescent="0.25">
      <c r="A523" s="16">
        <v>48638</v>
      </c>
      <c r="C523" s="16">
        <v>52190</v>
      </c>
    </row>
    <row r="524" spans="1:3" x14ac:dyDescent="0.25">
      <c r="A524" s="16">
        <v>48639</v>
      </c>
      <c r="C524" s="16">
        <v>52225</v>
      </c>
    </row>
    <row r="525" spans="1:3" x14ac:dyDescent="0.25">
      <c r="A525" s="16">
        <v>48684</v>
      </c>
      <c r="C525" s="16">
        <v>52232</v>
      </c>
    </row>
    <row r="526" spans="1:3" x14ac:dyDescent="0.25">
      <c r="A526" s="16">
        <v>48690</v>
      </c>
      <c r="C526" s="16">
        <v>52271</v>
      </c>
    </row>
    <row r="527" spans="1:3" x14ac:dyDescent="0.25">
      <c r="A527" s="16">
        <v>48700</v>
      </c>
      <c r="C527" s="16">
        <v>52272</v>
      </c>
    </row>
    <row r="528" spans="1:3" x14ac:dyDescent="0.25">
      <c r="A528" s="16">
        <v>48746</v>
      </c>
      <c r="C528" s="16">
        <v>52317</v>
      </c>
    </row>
    <row r="529" spans="1:3" x14ac:dyDescent="0.25">
      <c r="A529" s="16">
        <v>48829</v>
      </c>
      <c r="C529" s="16">
        <v>52342</v>
      </c>
    </row>
    <row r="530" spans="1:3" x14ac:dyDescent="0.25">
      <c r="A530" s="16">
        <v>48864</v>
      </c>
      <c r="C530" s="16">
        <v>52352</v>
      </c>
    </row>
    <row r="531" spans="1:3" x14ac:dyDescent="0.25">
      <c r="A531" s="16">
        <v>48885</v>
      </c>
      <c r="C531" s="16">
        <v>52379</v>
      </c>
    </row>
    <row r="532" spans="1:3" x14ac:dyDescent="0.25">
      <c r="A532" s="16">
        <v>48898</v>
      </c>
      <c r="C532" s="16">
        <v>52481</v>
      </c>
    </row>
    <row r="533" spans="1:3" x14ac:dyDescent="0.25">
      <c r="A533" s="16">
        <v>48903</v>
      </c>
      <c r="C533" s="16">
        <v>52516</v>
      </c>
    </row>
    <row r="534" spans="1:3" x14ac:dyDescent="0.25">
      <c r="A534" s="16">
        <v>48937</v>
      </c>
      <c r="C534" s="16">
        <v>52537</v>
      </c>
    </row>
    <row r="535" spans="1:3" x14ac:dyDescent="0.25">
      <c r="A535" s="16">
        <v>48938</v>
      </c>
      <c r="C535" s="16">
        <v>52550</v>
      </c>
    </row>
    <row r="536" spans="1:3" x14ac:dyDescent="0.25">
      <c r="A536" s="16">
        <v>48944</v>
      </c>
      <c r="C536" s="16">
        <v>52555</v>
      </c>
    </row>
    <row r="537" spans="1:3" x14ac:dyDescent="0.25">
      <c r="A537" s="16">
        <v>48945</v>
      </c>
      <c r="C537" s="16">
        <v>52590</v>
      </c>
    </row>
    <row r="538" spans="1:3" x14ac:dyDescent="0.25">
      <c r="A538" s="16">
        <v>48995</v>
      </c>
      <c r="C538" s="16">
        <v>52597</v>
      </c>
    </row>
    <row r="539" spans="1:3" x14ac:dyDescent="0.25">
      <c r="A539" s="16">
        <v>48996</v>
      </c>
      <c r="C539" s="16">
        <v>52656</v>
      </c>
    </row>
    <row r="540" spans="1:3" x14ac:dyDescent="0.25">
      <c r="A540" s="16">
        <v>49041</v>
      </c>
      <c r="C540" s="16">
        <v>52657</v>
      </c>
    </row>
    <row r="541" spans="1:3" x14ac:dyDescent="0.25">
      <c r="A541" s="16">
        <v>49055</v>
      </c>
      <c r="C541" s="16">
        <v>52702</v>
      </c>
    </row>
    <row r="542" spans="1:3" x14ac:dyDescent="0.25">
      <c r="A542" s="16">
        <v>49065</v>
      </c>
      <c r="C542" s="16">
        <v>52708</v>
      </c>
    </row>
    <row r="543" spans="1:3" x14ac:dyDescent="0.25">
      <c r="A543" s="16">
        <v>49103</v>
      </c>
      <c r="C543" s="16">
        <v>52718</v>
      </c>
    </row>
    <row r="544" spans="1:3" x14ac:dyDescent="0.25">
      <c r="A544" s="16">
        <v>49194</v>
      </c>
      <c r="C544" s="16">
        <v>52764</v>
      </c>
    </row>
    <row r="545" spans="1:3" x14ac:dyDescent="0.25">
      <c r="A545" s="16">
        <v>49229</v>
      </c>
      <c r="C545" s="16">
        <v>52847</v>
      </c>
    </row>
    <row r="546" spans="1:3" x14ac:dyDescent="0.25">
      <c r="A546" s="16">
        <v>49250</v>
      </c>
      <c r="C546" s="16">
        <v>52882</v>
      </c>
    </row>
    <row r="547" spans="1:3" x14ac:dyDescent="0.25">
      <c r="A547" s="16">
        <v>49263</v>
      </c>
      <c r="C547" s="16">
        <v>52903</v>
      </c>
    </row>
    <row r="548" spans="1:3" x14ac:dyDescent="0.25">
      <c r="A548" s="16">
        <v>49268</v>
      </c>
      <c r="C548" s="16">
        <v>52916</v>
      </c>
    </row>
    <row r="549" spans="1:3" x14ac:dyDescent="0.25">
      <c r="A549" s="16">
        <v>49302</v>
      </c>
      <c r="C549" s="16">
        <v>52921</v>
      </c>
    </row>
    <row r="550" spans="1:3" x14ac:dyDescent="0.25">
      <c r="A550" s="16">
        <v>49303</v>
      </c>
      <c r="C550" s="16">
        <v>52956</v>
      </c>
    </row>
    <row r="551" spans="1:3" x14ac:dyDescent="0.25">
      <c r="A551" s="16">
        <v>49309</v>
      </c>
      <c r="C551" s="16">
        <v>52963</v>
      </c>
    </row>
    <row r="552" spans="1:3" x14ac:dyDescent="0.25">
      <c r="A552" s="16">
        <v>49310</v>
      </c>
      <c r="C552" s="16">
        <v>53013</v>
      </c>
    </row>
    <row r="553" spans="1:3" x14ac:dyDescent="0.25">
      <c r="A553" s="16">
        <v>49345</v>
      </c>
      <c r="C553" s="16">
        <v>53014</v>
      </c>
    </row>
    <row r="554" spans="1:3" x14ac:dyDescent="0.25">
      <c r="A554" s="16">
        <v>49346</v>
      </c>
      <c r="C554" s="16">
        <v>53059</v>
      </c>
    </row>
    <row r="555" spans="1:3" x14ac:dyDescent="0.25">
      <c r="A555" s="16">
        <v>49391</v>
      </c>
      <c r="C555" s="16">
        <v>53073</v>
      </c>
    </row>
    <row r="556" spans="1:3" x14ac:dyDescent="0.25">
      <c r="A556" s="16">
        <v>49420</v>
      </c>
      <c r="C556" s="16">
        <v>53083</v>
      </c>
    </row>
    <row r="557" spans="1:3" x14ac:dyDescent="0.25">
      <c r="A557" s="16">
        <v>49430</v>
      </c>
      <c r="C557" s="16">
        <v>53121</v>
      </c>
    </row>
    <row r="558" spans="1:3" x14ac:dyDescent="0.25">
      <c r="A558" s="16">
        <v>49453</v>
      </c>
      <c r="C558" s="16">
        <v>53212</v>
      </c>
    </row>
    <row r="559" spans="1:3" x14ac:dyDescent="0.25">
      <c r="A559" s="16">
        <v>49559</v>
      </c>
      <c r="C559" s="16">
        <v>53247</v>
      </c>
    </row>
    <row r="560" spans="1:3" x14ac:dyDescent="0.25">
      <c r="A560" s="16">
        <v>49594</v>
      </c>
      <c r="C560" s="16">
        <v>53268</v>
      </c>
    </row>
    <row r="561" spans="1:3" x14ac:dyDescent="0.25">
      <c r="A561" s="16">
        <v>49615</v>
      </c>
      <c r="C561" s="16">
        <v>53281</v>
      </c>
    </row>
    <row r="562" spans="1:3" x14ac:dyDescent="0.25">
      <c r="A562" s="16">
        <v>49628</v>
      </c>
      <c r="C562" s="16">
        <v>53286</v>
      </c>
    </row>
    <row r="563" spans="1:3" x14ac:dyDescent="0.25">
      <c r="A563" s="16">
        <v>49633</v>
      </c>
      <c r="C563" s="16">
        <v>53321</v>
      </c>
    </row>
    <row r="564" spans="1:3" x14ac:dyDescent="0.25">
      <c r="A564" s="16">
        <v>49667</v>
      </c>
      <c r="C564" s="16">
        <v>53328</v>
      </c>
    </row>
    <row r="565" spans="1:3" x14ac:dyDescent="0.25">
      <c r="A565" s="16">
        <v>49668</v>
      </c>
      <c r="C565" s="16">
        <v>53363</v>
      </c>
    </row>
    <row r="566" spans="1:3" x14ac:dyDescent="0.25">
      <c r="A566" s="16">
        <v>49674</v>
      </c>
      <c r="C566" s="16">
        <v>53364</v>
      </c>
    </row>
    <row r="567" spans="1:3" x14ac:dyDescent="0.25">
      <c r="A567" s="16">
        <v>49675</v>
      </c>
      <c r="C567" s="16">
        <v>53409</v>
      </c>
    </row>
    <row r="568" spans="1:3" x14ac:dyDescent="0.25">
      <c r="A568" s="16">
        <v>49730</v>
      </c>
      <c r="C568" s="16">
        <v>53438</v>
      </c>
    </row>
    <row r="569" spans="1:3" x14ac:dyDescent="0.25">
      <c r="A569" s="16">
        <v>49731</v>
      </c>
      <c r="C569" s="16">
        <v>53448</v>
      </c>
    </row>
    <row r="570" spans="1:3" x14ac:dyDescent="0.25">
      <c r="A570" s="16">
        <v>49776</v>
      </c>
      <c r="C570" s="16">
        <v>53471</v>
      </c>
    </row>
    <row r="571" spans="1:3" x14ac:dyDescent="0.25">
      <c r="A571" s="16">
        <v>49786</v>
      </c>
      <c r="C571" s="16">
        <v>53577</v>
      </c>
    </row>
    <row r="572" spans="1:3" x14ac:dyDescent="0.25">
      <c r="A572" s="16">
        <v>49796</v>
      </c>
      <c r="C572" s="16">
        <v>53612</v>
      </c>
    </row>
    <row r="573" spans="1:3" x14ac:dyDescent="0.25">
      <c r="A573" s="16">
        <v>49838</v>
      </c>
      <c r="C573" s="16">
        <v>53633</v>
      </c>
    </row>
    <row r="574" spans="1:3" x14ac:dyDescent="0.25">
      <c r="A574" s="16">
        <v>49925</v>
      </c>
      <c r="C574" s="16">
        <v>53646</v>
      </c>
    </row>
    <row r="575" spans="1:3" x14ac:dyDescent="0.25">
      <c r="A575" s="16">
        <v>49960</v>
      </c>
      <c r="C575" s="16">
        <v>53651</v>
      </c>
    </row>
    <row r="576" spans="1:3" x14ac:dyDescent="0.25">
      <c r="A576" s="16">
        <v>49981</v>
      </c>
      <c r="C576" s="16">
        <v>53686</v>
      </c>
    </row>
    <row r="577" spans="1:3" x14ac:dyDescent="0.25">
      <c r="A577" s="16">
        <v>49994</v>
      </c>
      <c r="C577" s="16">
        <v>53693</v>
      </c>
    </row>
    <row r="578" spans="1:3" x14ac:dyDescent="0.25">
      <c r="A578" s="16">
        <v>49999</v>
      </c>
      <c r="C578" s="16">
        <v>53748</v>
      </c>
    </row>
    <row r="579" spans="1:3" x14ac:dyDescent="0.25">
      <c r="A579" s="16">
        <v>50033</v>
      </c>
      <c r="C579" s="16">
        <v>53749</v>
      </c>
    </row>
    <row r="580" spans="1:3" x14ac:dyDescent="0.25">
      <c r="A580" s="16">
        <v>50034</v>
      </c>
      <c r="C580" s="16">
        <v>53794</v>
      </c>
    </row>
    <row r="581" spans="1:3" x14ac:dyDescent="0.25">
      <c r="A581" s="16">
        <v>50040</v>
      </c>
      <c r="C581" s="16">
        <v>53803</v>
      </c>
    </row>
    <row r="582" spans="1:3" x14ac:dyDescent="0.25">
      <c r="A582" s="16">
        <v>50041</v>
      </c>
      <c r="C582" s="16">
        <v>53813</v>
      </c>
    </row>
    <row r="583" spans="1:3" x14ac:dyDescent="0.25">
      <c r="A583" s="16">
        <v>50087</v>
      </c>
      <c r="C583" s="16">
        <v>53856</v>
      </c>
    </row>
    <row r="584" spans="1:3" x14ac:dyDescent="0.25">
      <c r="A584" s="16">
        <v>50088</v>
      </c>
      <c r="C584" s="16">
        <v>53942</v>
      </c>
    </row>
    <row r="585" spans="1:3" x14ac:dyDescent="0.25">
      <c r="A585" s="16">
        <v>50133</v>
      </c>
      <c r="C585" s="16">
        <v>53977</v>
      </c>
    </row>
    <row r="586" spans="1:3" x14ac:dyDescent="0.25">
      <c r="A586" s="16">
        <v>50151</v>
      </c>
      <c r="C586" s="16">
        <v>53998</v>
      </c>
    </row>
    <row r="587" spans="1:3" x14ac:dyDescent="0.25">
      <c r="A587" s="16">
        <v>50161</v>
      </c>
      <c r="C587" s="16">
        <v>54011</v>
      </c>
    </row>
    <row r="588" spans="1:3" x14ac:dyDescent="0.25">
      <c r="A588" s="16">
        <v>50195</v>
      </c>
      <c r="C588" s="16">
        <v>54016</v>
      </c>
    </row>
    <row r="589" spans="1:3" x14ac:dyDescent="0.25">
      <c r="A589" s="16">
        <v>50290</v>
      </c>
      <c r="C589" s="16">
        <v>54051</v>
      </c>
    </row>
    <row r="590" spans="1:3" x14ac:dyDescent="0.25">
      <c r="A590" s="16">
        <v>50325</v>
      </c>
      <c r="C590" s="16">
        <v>54058</v>
      </c>
    </row>
    <row r="591" spans="1:3" x14ac:dyDescent="0.25">
      <c r="A591" s="16">
        <v>50346</v>
      </c>
      <c r="C591" s="16">
        <v>54105</v>
      </c>
    </row>
    <row r="592" spans="1:3" x14ac:dyDescent="0.25">
      <c r="A592" s="16">
        <v>50359</v>
      </c>
      <c r="C592" s="16">
        <v>54106</v>
      </c>
    </row>
    <row r="593" spans="1:3" x14ac:dyDescent="0.25">
      <c r="A593" s="16">
        <v>50364</v>
      </c>
      <c r="C593" s="16">
        <v>54151</v>
      </c>
    </row>
    <row r="594" spans="1:3" x14ac:dyDescent="0.25">
      <c r="A594" s="16">
        <v>50398</v>
      </c>
      <c r="C594" s="16">
        <v>54169</v>
      </c>
    </row>
    <row r="595" spans="1:3" x14ac:dyDescent="0.25">
      <c r="A595" s="16">
        <v>50399</v>
      </c>
      <c r="C595" s="16">
        <v>54179</v>
      </c>
    </row>
    <row r="596" spans="1:3" x14ac:dyDescent="0.25">
      <c r="A596" s="16">
        <v>50405</v>
      </c>
      <c r="C596" s="16">
        <v>54213</v>
      </c>
    </row>
    <row r="597" spans="1:3" x14ac:dyDescent="0.25">
      <c r="A597" s="16">
        <v>50406</v>
      </c>
      <c r="C597" s="16">
        <v>54308</v>
      </c>
    </row>
    <row r="598" spans="1:3" x14ac:dyDescent="0.25">
      <c r="A598" s="16">
        <v>50472</v>
      </c>
      <c r="C598" s="16">
        <v>54343</v>
      </c>
    </row>
    <row r="599" spans="1:3" x14ac:dyDescent="0.25">
      <c r="A599" s="16">
        <v>50473</v>
      </c>
      <c r="C599" s="16">
        <v>54364</v>
      </c>
    </row>
    <row r="600" spans="1:3" x14ac:dyDescent="0.25">
      <c r="A600" s="16">
        <v>50516</v>
      </c>
      <c r="C600" s="16">
        <v>54377</v>
      </c>
    </row>
    <row r="601" spans="1:3" x14ac:dyDescent="0.25">
      <c r="A601" s="16">
        <v>50518</v>
      </c>
      <c r="C601" s="16">
        <v>54382</v>
      </c>
    </row>
    <row r="602" spans="1:3" x14ac:dyDescent="0.25">
      <c r="A602" s="16">
        <v>50526</v>
      </c>
      <c r="C602" s="16">
        <v>54417</v>
      </c>
    </row>
    <row r="603" spans="1:3" x14ac:dyDescent="0.25">
      <c r="A603" s="16">
        <v>50580</v>
      </c>
      <c r="C603" s="16">
        <v>54424</v>
      </c>
    </row>
    <row r="604" spans="1:3" x14ac:dyDescent="0.25">
      <c r="A604" s="16">
        <v>50655</v>
      </c>
      <c r="C604" s="16">
        <v>54483</v>
      </c>
    </row>
    <row r="605" spans="1:3" x14ac:dyDescent="0.25">
      <c r="A605" s="16">
        <v>50690</v>
      </c>
      <c r="C605" s="16">
        <v>54484</v>
      </c>
    </row>
    <row r="606" spans="1:3" x14ac:dyDescent="0.25">
      <c r="A606" s="16">
        <v>50711</v>
      </c>
      <c r="C606" s="16">
        <v>54529</v>
      </c>
    </row>
    <row r="607" spans="1:3" x14ac:dyDescent="0.25">
      <c r="A607" s="16">
        <v>50724</v>
      </c>
      <c r="C607" s="16">
        <v>54534</v>
      </c>
    </row>
    <row r="608" spans="1:3" x14ac:dyDescent="0.25">
      <c r="A608" s="16">
        <v>50729</v>
      </c>
      <c r="C608" s="16">
        <v>54544</v>
      </c>
    </row>
    <row r="609" spans="1:3" x14ac:dyDescent="0.25">
      <c r="A609" s="16">
        <v>50763</v>
      </c>
      <c r="C609" s="16">
        <v>54591</v>
      </c>
    </row>
    <row r="610" spans="1:3" x14ac:dyDescent="0.25">
      <c r="A610" s="16">
        <v>50764</v>
      </c>
      <c r="C610" s="16">
        <v>54673</v>
      </c>
    </row>
    <row r="611" spans="1:3" x14ac:dyDescent="0.25">
      <c r="A611" s="16">
        <v>50770</v>
      </c>
      <c r="C611" s="16">
        <v>54708</v>
      </c>
    </row>
    <row r="612" spans="1:3" x14ac:dyDescent="0.25">
      <c r="A612" s="16">
        <v>50771</v>
      </c>
      <c r="C612" s="16">
        <v>54729</v>
      </c>
    </row>
    <row r="613" spans="1:3" x14ac:dyDescent="0.25">
      <c r="A613" s="16">
        <v>50822</v>
      </c>
      <c r="C613" s="16">
        <v>54742</v>
      </c>
    </row>
    <row r="614" spans="1:3" x14ac:dyDescent="0.25">
      <c r="A614" s="16">
        <v>50823</v>
      </c>
      <c r="C614" s="16">
        <v>54747</v>
      </c>
    </row>
    <row r="615" spans="1:3" x14ac:dyDescent="0.25">
      <c r="A615" s="16">
        <v>50868</v>
      </c>
      <c r="C615" s="16">
        <v>54782</v>
      </c>
    </row>
    <row r="616" spans="1:3" x14ac:dyDescent="0.25">
      <c r="A616" s="16">
        <v>50881</v>
      </c>
      <c r="C616" s="16">
        <v>54789</v>
      </c>
    </row>
    <row r="617" spans="1:3" x14ac:dyDescent="0.25">
      <c r="A617" s="16">
        <v>50891</v>
      </c>
      <c r="C617" s="16">
        <v>54840</v>
      </c>
    </row>
    <row r="618" spans="1:3" x14ac:dyDescent="0.25">
      <c r="A618" s="16">
        <v>50930</v>
      </c>
      <c r="C618" s="16">
        <v>54841</v>
      </c>
    </row>
    <row r="619" spans="1:3" x14ac:dyDescent="0.25">
      <c r="A619" s="16">
        <v>51020</v>
      </c>
      <c r="C619" s="16">
        <v>54886</v>
      </c>
    </row>
    <row r="620" spans="1:3" x14ac:dyDescent="0.25">
      <c r="A620" s="16">
        <v>51055</v>
      </c>
      <c r="C620" s="16">
        <v>54899</v>
      </c>
    </row>
    <row r="621" spans="1:3" x14ac:dyDescent="0.25">
      <c r="A621" s="16">
        <v>51076</v>
      </c>
      <c r="C621" s="16">
        <v>54909</v>
      </c>
    </row>
    <row r="622" spans="1:3" x14ac:dyDescent="0.25">
      <c r="A622" s="16">
        <v>51089</v>
      </c>
      <c r="C622" s="16">
        <v>54948</v>
      </c>
    </row>
    <row r="623" spans="1:3" x14ac:dyDescent="0.25">
      <c r="A623" s="16">
        <v>51094</v>
      </c>
      <c r="C623" s="16">
        <v>55038</v>
      </c>
    </row>
    <row r="624" spans="1:3" x14ac:dyDescent="0.25">
      <c r="A624" s="16">
        <v>51128</v>
      </c>
      <c r="C624" s="16">
        <v>55073</v>
      </c>
    </row>
    <row r="625" spans="1:3" x14ac:dyDescent="0.25">
      <c r="A625" s="16">
        <v>51129</v>
      </c>
      <c r="C625" s="16">
        <v>55094</v>
      </c>
    </row>
    <row r="626" spans="1:3" x14ac:dyDescent="0.25">
      <c r="A626" s="16">
        <v>51135</v>
      </c>
      <c r="C626" s="16">
        <v>55107</v>
      </c>
    </row>
    <row r="627" spans="1:3" x14ac:dyDescent="0.25">
      <c r="A627" s="16">
        <v>51136</v>
      </c>
      <c r="C627" s="16">
        <v>55112</v>
      </c>
    </row>
    <row r="628" spans="1:3" x14ac:dyDescent="0.25">
      <c r="A628" s="16">
        <v>51179</v>
      </c>
      <c r="C628" s="16">
        <v>55147</v>
      </c>
    </row>
    <row r="629" spans="1:3" x14ac:dyDescent="0.25">
      <c r="A629" s="16">
        <v>51180</v>
      </c>
      <c r="C629" s="16">
        <v>55154</v>
      </c>
    </row>
    <row r="630" spans="1:3" x14ac:dyDescent="0.25">
      <c r="A630" s="16">
        <v>51225</v>
      </c>
      <c r="C630" s="16">
        <v>55197</v>
      </c>
    </row>
    <row r="631" spans="1:3" x14ac:dyDescent="0.25">
      <c r="A631" s="16">
        <v>51247</v>
      </c>
      <c r="C631" s="16">
        <v>55198</v>
      </c>
    </row>
    <row r="632" spans="1:3" x14ac:dyDescent="0.25">
      <c r="A632" s="16">
        <v>51257</v>
      </c>
      <c r="C632" s="16">
        <v>55243</v>
      </c>
    </row>
    <row r="633" spans="1:3" x14ac:dyDescent="0.25">
      <c r="A633" s="16">
        <v>51287</v>
      </c>
      <c r="C633" s="16">
        <v>55264</v>
      </c>
    </row>
    <row r="634" spans="1:3" x14ac:dyDescent="0.25">
      <c r="A634" s="16">
        <v>51386</v>
      </c>
      <c r="C634" s="16">
        <v>55274</v>
      </c>
    </row>
    <row r="635" spans="1:3" x14ac:dyDescent="0.25">
      <c r="A635" s="16">
        <v>51421</v>
      </c>
      <c r="C635" s="16">
        <v>55305</v>
      </c>
    </row>
    <row r="636" spans="1:3" x14ac:dyDescent="0.25">
      <c r="A636" s="16">
        <v>51442</v>
      </c>
      <c r="C636" s="16">
        <v>55403</v>
      </c>
    </row>
    <row r="637" spans="1:3" x14ac:dyDescent="0.25">
      <c r="A637" s="16">
        <v>51455</v>
      </c>
      <c r="C637" s="16">
        <v>55438</v>
      </c>
    </row>
    <row r="638" spans="1:3" x14ac:dyDescent="0.25">
      <c r="A638" s="16">
        <v>51460</v>
      </c>
      <c r="C638" s="16">
        <v>55459</v>
      </c>
    </row>
    <row r="639" spans="1:3" x14ac:dyDescent="0.25">
      <c r="A639" s="16">
        <v>51494</v>
      </c>
      <c r="C639" s="16">
        <v>55472</v>
      </c>
    </row>
    <row r="640" spans="1:3" x14ac:dyDescent="0.25">
      <c r="A640" s="16">
        <v>51495</v>
      </c>
      <c r="C640" s="16">
        <v>55477</v>
      </c>
    </row>
    <row r="641" spans="1:3" x14ac:dyDescent="0.25">
      <c r="A641" s="16">
        <v>51501</v>
      </c>
      <c r="C641" s="16">
        <v>55512</v>
      </c>
    </row>
    <row r="642" spans="1:3" x14ac:dyDescent="0.25">
      <c r="A642" s="16">
        <v>51502</v>
      </c>
      <c r="C642" s="16">
        <v>55519</v>
      </c>
    </row>
    <row r="643" spans="1:3" x14ac:dyDescent="0.25">
      <c r="A643" s="16">
        <v>51564</v>
      </c>
      <c r="C643" s="16">
        <v>55582</v>
      </c>
    </row>
    <row r="644" spans="1:3" x14ac:dyDescent="0.25">
      <c r="A644" s="16">
        <v>51565</v>
      </c>
      <c r="C644" s="16">
        <v>55583</v>
      </c>
    </row>
    <row r="645" spans="1:3" x14ac:dyDescent="0.25">
      <c r="A645" s="16">
        <v>51610</v>
      </c>
      <c r="C645" s="16">
        <v>55628</v>
      </c>
    </row>
    <row r="646" spans="1:3" x14ac:dyDescent="0.25">
      <c r="A646" s="16">
        <v>51612</v>
      </c>
      <c r="C646" s="16">
        <v>55630</v>
      </c>
    </row>
    <row r="647" spans="1:3" x14ac:dyDescent="0.25">
      <c r="A647" s="16">
        <v>51622</v>
      </c>
      <c r="C647" s="16">
        <v>55640</v>
      </c>
    </row>
    <row r="648" spans="1:3" x14ac:dyDescent="0.25">
      <c r="A648" s="16">
        <v>51672</v>
      </c>
      <c r="C648" s="16">
        <v>55690</v>
      </c>
    </row>
    <row r="649" spans="1:3" x14ac:dyDescent="0.25">
      <c r="A649" s="16">
        <v>51751</v>
      </c>
      <c r="C649" s="16">
        <v>55769</v>
      </c>
    </row>
    <row r="650" spans="1:3" x14ac:dyDescent="0.25">
      <c r="A650" s="16">
        <v>51786</v>
      </c>
      <c r="C650" s="16">
        <v>55804</v>
      </c>
    </row>
    <row r="651" spans="1:3" x14ac:dyDescent="0.25">
      <c r="A651" s="16">
        <v>51807</v>
      </c>
      <c r="C651" s="16">
        <v>55825</v>
      </c>
    </row>
    <row r="652" spans="1:3" x14ac:dyDescent="0.25">
      <c r="A652" s="16">
        <v>51820</v>
      </c>
      <c r="C652" s="16">
        <v>55838</v>
      </c>
    </row>
    <row r="653" spans="1:3" x14ac:dyDescent="0.25">
      <c r="A653" s="16">
        <v>51825</v>
      </c>
      <c r="C653" s="16">
        <v>55843</v>
      </c>
    </row>
    <row r="654" spans="1:3" x14ac:dyDescent="0.25">
      <c r="A654" s="16">
        <v>51859</v>
      </c>
      <c r="C654" s="16">
        <v>55878</v>
      </c>
    </row>
    <row r="655" spans="1:3" x14ac:dyDescent="0.25">
      <c r="A655" s="16">
        <v>51860</v>
      </c>
      <c r="C655" s="16">
        <v>55885</v>
      </c>
    </row>
    <row r="656" spans="1:3" x14ac:dyDescent="0.25">
      <c r="A656" s="16">
        <v>51866</v>
      </c>
      <c r="C656" s="16">
        <v>55932</v>
      </c>
    </row>
    <row r="657" spans="1:3" x14ac:dyDescent="0.25">
      <c r="A657" s="16">
        <v>51867</v>
      </c>
      <c r="C657" s="16">
        <v>55933</v>
      </c>
    </row>
    <row r="658" spans="1:3" x14ac:dyDescent="0.25">
      <c r="A658" s="16">
        <v>51914</v>
      </c>
      <c r="C658" s="16">
        <v>55978</v>
      </c>
    </row>
    <row r="659" spans="1:3" x14ac:dyDescent="0.25">
      <c r="A659" s="16">
        <v>51915</v>
      </c>
      <c r="C659" s="16">
        <v>55995</v>
      </c>
    </row>
    <row r="660" spans="1:3" x14ac:dyDescent="0.25">
      <c r="A660" s="16">
        <v>51960</v>
      </c>
      <c r="C660" s="16">
        <v>56005</v>
      </c>
    </row>
    <row r="661" spans="1:3" x14ac:dyDescent="0.25">
      <c r="A661" s="16">
        <v>51977</v>
      </c>
      <c r="C661" s="16">
        <v>56040</v>
      </c>
    </row>
    <row r="662" spans="1:3" x14ac:dyDescent="0.25">
      <c r="A662" s="16">
        <v>51987</v>
      </c>
      <c r="C662" s="16">
        <v>56134</v>
      </c>
    </row>
    <row r="663" spans="1:3" x14ac:dyDescent="0.25">
      <c r="A663" s="16">
        <v>52022</v>
      </c>
      <c r="C663" s="16">
        <v>56169</v>
      </c>
    </row>
    <row r="664" spans="1:3" x14ac:dyDescent="0.25">
      <c r="A664" s="16">
        <v>52116</v>
      </c>
      <c r="C664" s="16">
        <v>56190</v>
      </c>
    </row>
    <row r="665" spans="1:3" x14ac:dyDescent="0.25">
      <c r="A665" s="16">
        <v>52151</v>
      </c>
      <c r="C665" s="16">
        <v>56203</v>
      </c>
    </row>
    <row r="666" spans="1:3" x14ac:dyDescent="0.25">
      <c r="A666" s="16">
        <v>52172</v>
      </c>
      <c r="C666" s="16">
        <v>56208</v>
      </c>
    </row>
    <row r="667" spans="1:3" x14ac:dyDescent="0.25">
      <c r="A667" s="16">
        <v>52185</v>
      </c>
      <c r="C667" s="16">
        <v>56243</v>
      </c>
    </row>
    <row r="668" spans="1:3" x14ac:dyDescent="0.25">
      <c r="A668" s="16">
        <v>52190</v>
      </c>
      <c r="C668" s="16">
        <v>56250</v>
      </c>
    </row>
    <row r="669" spans="1:3" x14ac:dyDescent="0.25">
      <c r="A669" s="16">
        <v>52224</v>
      </c>
      <c r="C669" s="16">
        <v>56289</v>
      </c>
    </row>
    <row r="670" spans="1:3" x14ac:dyDescent="0.25">
      <c r="A670" s="16">
        <v>52225</v>
      </c>
      <c r="C670" s="16">
        <v>56290</v>
      </c>
    </row>
    <row r="671" spans="1:3" x14ac:dyDescent="0.25">
      <c r="A671" s="16">
        <v>52231</v>
      </c>
      <c r="C671" s="16">
        <v>56335</v>
      </c>
    </row>
    <row r="672" spans="1:3" x14ac:dyDescent="0.25">
      <c r="A672" s="16">
        <v>52232</v>
      </c>
      <c r="C672" s="16">
        <v>56360</v>
      </c>
    </row>
    <row r="673" spans="1:3" x14ac:dyDescent="0.25">
      <c r="A673" s="16">
        <v>52271</v>
      </c>
      <c r="C673" s="16">
        <v>56370</v>
      </c>
    </row>
    <row r="674" spans="1:3" x14ac:dyDescent="0.25">
      <c r="A674" s="16">
        <v>52272</v>
      </c>
      <c r="C674" s="16">
        <v>56397</v>
      </c>
    </row>
    <row r="675" spans="1:3" x14ac:dyDescent="0.25">
      <c r="A675" s="16">
        <v>52317</v>
      </c>
      <c r="C675" s="16">
        <v>56499</v>
      </c>
    </row>
    <row r="676" spans="1:3" x14ac:dyDescent="0.25">
      <c r="A676" s="16">
        <v>52342</v>
      </c>
      <c r="C676" s="16">
        <v>56534</v>
      </c>
    </row>
    <row r="677" spans="1:3" x14ac:dyDescent="0.25">
      <c r="A677" s="16">
        <v>52352</v>
      </c>
      <c r="C677" s="16">
        <v>56555</v>
      </c>
    </row>
    <row r="678" spans="1:3" x14ac:dyDescent="0.25">
      <c r="A678" s="16">
        <v>52379</v>
      </c>
      <c r="C678" s="16">
        <v>56568</v>
      </c>
    </row>
    <row r="679" spans="1:3" x14ac:dyDescent="0.25">
      <c r="A679" s="16">
        <v>52481</v>
      </c>
      <c r="C679" s="16">
        <v>56573</v>
      </c>
    </row>
    <row r="680" spans="1:3" x14ac:dyDescent="0.25">
      <c r="A680" s="16">
        <v>52516</v>
      </c>
      <c r="C680" s="16">
        <v>56608</v>
      </c>
    </row>
    <row r="681" spans="1:3" x14ac:dyDescent="0.25">
      <c r="A681" s="16">
        <v>52537</v>
      </c>
      <c r="C681" s="16">
        <v>56615</v>
      </c>
    </row>
    <row r="682" spans="1:3" x14ac:dyDescent="0.25">
      <c r="A682" s="16">
        <v>52550</v>
      </c>
      <c r="C682" s="16">
        <v>56674</v>
      </c>
    </row>
    <row r="683" spans="1:3" x14ac:dyDescent="0.25">
      <c r="A683" s="16">
        <v>52555</v>
      </c>
      <c r="C683" s="16">
        <v>56675</v>
      </c>
    </row>
    <row r="684" spans="1:3" x14ac:dyDescent="0.25">
      <c r="A684" s="16">
        <v>52589</v>
      </c>
      <c r="C684" s="16">
        <v>56720</v>
      </c>
    </row>
    <row r="685" spans="1:3" x14ac:dyDescent="0.25">
      <c r="A685" s="16">
        <v>52590</v>
      </c>
      <c r="C685" s="16">
        <v>56725</v>
      </c>
    </row>
    <row r="686" spans="1:3" x14ac:dyDescent="0.25">
      <c r="A686" s="16">
        <v>52596</v>
      </c>
      <c r="C686" s="16">
        <v>56735</v>
      </c>
    </row>
    <row r="687" spans="1:3" x14ac:dyDescent="0.25">
      <c r="A687" s="16">
        <v>52597</v>
      </c>
      <c r="C687" s="16">
        <v>56782</v>
      </c>
    </row>
    <row r="688" spans="1:3" x14ac:dyDescent="0.25">
      <c r="A688" s="16">
        <v>52656</v>
      </c>
      <c r="C688" s="16">
        <v>56864</v>
      </c>
    </row>
    <row r="689" spans="1:3" x14ac:dyDescent="0.25">
      <c r="A689" s="16">
        <v>52657</v>
      </c>
      <c r="C689" s="16">
        <v>56899</v>
      </c>
    </row>
    <row r="690" spans="1:3" x14ac:dyDescent="0.25">
      <c r="A690" s="16">
        <v>52702</v>
      </c>
      <c r="C690" s="16">
        <v>56920</v>
      </c>
    </row>
    <row r="691" spans="1:3" x14ac:dyDescent="0.25">
      <c r="A691" s="16">
        <v>52708</v>
      </c>
      <c r="C691" s="16">
        <v>56933</v>
      </c>
    </row>
    <row r="692" spans="1:3" x14ac:dyDescent="0.25">
      <c r="A692" s="16">
        <v>52718</v>
      </c>
      <c r="C692" s="16">
        <v>56938</v>
      </c>
    </row>
    <row r="693" spans="1:3" x14ac:dyDescent="0.25">
      <c r="A693" s="16">
        <v>52764</v>
      </c>
      <c r="C693" s="16">
        <v>56973</v>
      </c>
    </row>
    <row r="694" spans="1:3" x14ac:dyDescent="0.25">
      <c r="A694" s="16">
        <v>52847</v>
      </c>
      <c r="C694" s="16">
        <v>56980</v>
      </c>
    </row>
    <row r="695" spans="1:3" x14ac:dyDescent="0.25">
      <c r="A695" s="16">
        <v>52882</v>
      </c>
      <c r="C695" s="16">
        <v>57024</v>
      </c>
    </row>
    <row r="696" spans="1:3" x14ac:dyDescent="0.25">
      <c r="A696" s="16">
        <v>52903</v>
      </c>
      <c r="C696" s="16">
        <v>57025</v>
      </c>
    </row>
    <row r="697" spans="1:3" x14ac:dyDescent="0.25">
      <c r="A697" s="16">
        <v>52916</v>
      </c>
      <c r="C697" s="16">
        <v>57070</v>
      </c>
    </row>
    <row r="698" spans="1:3" x14ac:dyDescent="0.25">
      <c r="A698" s="16">
        <v>52921</v>
      </c>
      <c r="C698" s="16">
        <v>57091</v>
      </c>
    </row>
    <row r="699" spans="1:3" x14ac:dyDescent="0.25">
      <c r="A699" s="16">
        <v>52955</v>
      </c>
      <c r="C699" s="16">
        <v>57101</v>
      </c>
    </row>
    <row r="700" spans="1:3" x14ac:dyDescent="0.25">
      <c r="A700" s="16">
        <v>52956</v>
      </c>
      <c r="C700" s="16">
        <v>57132</v>
      </c>
    </row>
    <row r="701" spans="1:3" x14ac:dyDescent="0.25">
      <c r="A701" s="16">
        <v>52962</v>
      </c>
      <c r="C701" s="16">
        <v>57230</v>
      </c>
    </row>
    <row r="702" spans="1:3" x14ac:dyDescent="0.25">
      <c r="A702" s="16">
        <v>52963</v>
      </c>
      <c r="C702" s="16">
        <v>57265</v>
      </c>
    </row>
    <row r="703" spans="1:3" x14ac:dyDescent="0.25">
      <c r="A703" s="16">
        <v>53013</v>
      </c>
      <c r="C703" s="16">
        <v>57286</v>
      </c>
    </row>
    <row r="704" spans="1:3" x14ac:dyDescent="0.25">
      <c r="A704" s="16">
        <v>53014</v>
      </c>
      <c r="C704" s="16">
        <v>57299</v>
      </c>
    </row>
    <row r="705" spans="1:3" x14ac:dyDescent="0.25">
      <c r="A705" s="16">
        <v>53059</v>
      </c>
      <c r="C705" s="16">
        <v>57304</v>
      </c>
    </row>
    <row r="706" spans="1:3" x14ac:dyDescent="0.25">
      <c r="A706" s="16">
        <v>53073</v>
      </c>
      <c r="C706" s="16">
        <v>57339</v>
      </c>
    </row>
    <row r="707" spans="1:3" x14ac:dyDescent="0.25">
      <c r="A707" s="16">
        <v>53083</v>
      </c>
      <c r="C707" s="16">
        <v>57346</v>
      </c>
    </row>
    <row r="708" spans="1:3" x14ac:dyDescent="0.25">
      <c r="A708" s="16">
        <v>53121</v>
      </c>
      <c r="C708" s="16">
        <v>57409</v>
      </c>
    </row>
    <row r="709" spans="1:3" x14ac:dyDescent="0.25">
      <c r="A709" s="16">
        <v>53212</v>
      </c>
      <c r="C709" s="16">
        <v>57410</v>
      </c>
    </row>
    <row r="710" spans="1:3" x14ac:dyDescent="0.25">
      <c r="A710" s="16">
        <v>53247</v>
      </c>
      <c r="C710" s="16">
        <v>57455</v>
      </c>
    </row>
    <row r="711" spans="1:3" x14ac:dyDescent="0.25">
      <c r="A711" s="16">
        <v>53268</v>
      </c>
      <c r="C711" s="16">
        <v>57456</v>
      </c>
    </row>
    <row r="712" spans="1:3" x14ac:dyDescent="0.25">
      <c r="A712" s="16">
        <v>53281</v>
      </c>
      <c r="C712" s="16">
        <v>57466</v>
      </c>
    </row>
    <row r="713" spans="1:3" x14ac:dyDescent="0.25">
      <c r="A713" s="16">
        <v>53286</v>
      </c>
      <c r="C713" s="16">
        <v>57517</v>
      </c>
    </row>
    <row r="714" spans="1:3" x14ac:dyDescent="0.25">
      <c r="A714" s="16">
        <v>53320</v>
      </c>
      <c r="C714" s="16">
        <v>57595</v>
      </c>
    </row>
    <row r="715" spans="1:3" x14ac:dyDescent="0.25">
      <c r="A715" s="16">
        <v>53321</v>
      </c>
      <c r="C715" s="16">
        <v>57630</v>
      </c>
    </row>
    <row r="716" spans="1:3" x14ac:dyDescent="0.25">
      <c r="A716" s="16">
        <v>53327</v>
      </c>
      <c r="C716" s="16">
        <v>57651</v>
      </c>
    </row>
    <row r="717" spans="1:3" x14ac:dyDescent="0.25">
      <c r="A717" s="16">
        <v>53328</v>
      </c>
      <c r="C717" s="16">
        <v>57664</v>
      </c>
    </row>
    <row r="718" spans="1:3" x14ac:dyDescent="0.25">
      <c r="A718" s="16">
        <v>53363</v>
      </c>
      <c r="C718" s="16">
        <v>57669</v>
      </c>
    </row>
    <row r="719" spans="1:3" x14ac:dyDescent="0.25">
      <c r="A719" s="16">
        <v>53364</v>
      </c>
      <c r="C719" s="16">
        <v>57704</v>
      </c>
    </row>
    <row r="720" spans="1:3" x14ac:dyDescent="0.25">
      <c r="A720" s="16">
        <v>53409</v>
      </c>
      <c r="C720" s="16">
        <v>57711</v>
      </c>
    </row>
    <row r="721" spans="1:3" x14ac:dyDescent="0.25">
      <c r="A721" s="16">
        <v>53438</v>
      </c>
      <c r="C721" s="16">
        <v>57766</v>
      </c>
    </row>
    <row r="722" spans="1:3" x14ac:dyDescent="0.25">
      <c r="A722" s="16">
        <v>53448</v>
      </c>
      <c r="C722" s="16">
        <v>57767</v>
      </c>
    </row>
    <row r="723" spans="1:3" x14ac:dyDescent="0.25">
      <c r="A723" s="16">
        <v>53471</v>
      </c>
      <c r="C723" s="16">
        <v>57812</v>
      </c>
    </row>
    <row r="724" spans="1:3" x14ac:dyDescent="0.25">
      <c r="A724" s="16">
        <v>53577</v>
      </c>
      <c r="C724" s="16">
        <v>57821</v>
      </c>
    </row>
    <row r="725" spans="1:3" x14ac:dyDescent="0.25">
      <c r="A725" s="16">
        <v>53612</v>
      </c>
      <c r="C725" s="16">
        <v>57831</v>
      </c>
    </row>
    <row r="726" spans="1:3" x14ac:dyDescent="0.25">
      <c r="A726" s="16">
        <v>53633</v>
      </c>
      <c r="C726" s="16">
        <v>57874</v>
      </c>
    </row>
    <row r="727" spans="1:3" x14ac:dyDescent="0.25">
      <c r="A727" s="16">
        <v>53646</v>
      </c>
      <c r="C727" s="16">
        <v>57960</v>
      </c>
    </row>
    <row r="728" spans="1:3" x14ac:dyDescent="0.25">
      <c r="A728" s="16">
        <v>53651</v>
      </c>
      <c r="C728" s="16">
        <v>57995</v>
      </c>
    </row>
    <row r="729" spans="1:3" x14ac:dyDescent="0.25">
      <c r="A729" s="16">
        <v>53685</v>
      </c>
      <c r="C729" s="16">
        <v>58016</v>
      </c>
    </row>
    <row r="730" spans="1:3" x14ac:dyDescent="0.25">
      <c r="A730" s="16">
        <v>53686</v>
      </c>
      <c r="C730" s="16">
        <v>58029</v>
      </c>
    </row>
    <row r="731" spans="1:3" x14ac:dyDescent="0.25">
      <c r="A731" s="16">
        <v>53692</v>
      </c>
      <c r="C731" s="16">
        <v>58034</v>
      </c>
    </row>
    <row r="732" spans="1:3" x14ac:dyDescent="0.25">
      <c r="A732" s="16">
        <v>53693</v>
      </c>
      <c r="C732" s="16">
        <v>58069</v>
      </c>
    </row>
    <row r="733" spans="1:3" x14ac:dyDescent="0.25">
      <c r="A733" s="16">
        <v>53748</v>
      </c>
      <c r="C733" s="16">
        <v>58076</v>
      </c>
    </row>
    <row r="734" spans="1:3" x14ac:dyDescent="0.25">
      <c r="A734" s="16">
        <v>53749</v>
      </c>
      <c r="C734" s="16">
        <v>58116</v>
      </c>
    </row>
    <row r="735" spans="1:3" x14ac:dyDescent="0.25">
      <c r="A735" s="16">
        <v>53794</v>
      </c>
      <c r="C735" s="16">
        <v>58117</v>
      </c>
    </row>
    <row r="736" spans="1:3" x14ac:dyDescent="0.25">
      <c r="A736" s="16">
        <v>53803</v>
      </c>
      <c r="C736" s="16">
        <v>58162</v>
      </c>
    </row>
    <row r="737" spans="1:3" x14ac:dyDescent="0.25">
      <c r="A737" s="16">
        <v>53813</v>
      </c>
      <c r="C737" s="16">
        <v>58186</v>
      </c>
    </row>
    <row r="738" spans="1:3" x14ac:dyDescent="0.25">
      <c r="A738" s="16">
        <v>53856</v>
      </c>
      <c r="C738" s="16">
        <v>58196</v>
      </c>
    </row>
    <row r="739" spans="1:3" x14ac:dyDescent="0.25">
      <c r="A739" s="16">
        <v>53942</v>
      </c>
      <c r="C739" s="16">
        <v>58224</v>
      </c>
    </row>
    <row r="740" spans="1:3" x14ac:dyDescent="0.25">
      <c r="A740" s="16">
        <v>53977</v>
      </c>
      <c r="C740" s="16">
        <v>58325</v>
      </c>
    </row>
    <row r="741" spans="1:3" x14ac:dyDescent="0.25">
      <c r="A741" s="16">
        <v>53998</v>
      </c>
      <c r="C741" s="16">
        <v>58360</v>
      </c>
    </row>
    <row r="742" spans="1:3" x14ac:dyDescent="0.25">
      <c r="A742" s="16">
        <v>54011</v>
      </c>
      <c r="C742" s="16">
        <v>58381</v>
      </c>
    </row>
    <row r="743" spans="1:3" x14ac:dyDescent="0.25">
      <c r="A743" s="16">
        <v>54016</v>
      </c>
      <c r="C743" s="16">
        <v>58394</v>
      </c>
    </row>
    <row r="744" spans="1:3" x14ac:dyDescent="0.25">
      <c r="A744" s="16">
        <v>54050</v>
      </c>
      <c r="C744" s="16">
        <v>58399</v>
      </c>
    </row>
    <row r="745" spans="1:3" x14ac:dyDescent="0.25">
      <c r="A745" s="16">
        <v>54051</v>
      </c>
      <c r="C745" s="16">
        <v>58434</v>
      </c>
    </row>
    <row r="746" spans="1:3" x14ac:dyDescent="0.25">
      <c r="A746" s="16">
        <v>54057</v>
      </c>
      <c r="C746" s="16">
        <v>58441</v>
      </c>
    </row>
    <row r="747" spans="1:3" x14ac:dyDescent="0.25">
      <c r="A747" s="16">
        <v>54058</v>
      </c>
      <c r="C747" s="16">
        <v>58501</v>
      </c>
    </row>
    <row r="748" spans="1:3" x14ac:dyDescent="0.25">
      <c r="A748" s="16">
        <v>54105</v>
      </c>
      <c r="C748" s="16">
        <v>58502</v>
      </c>
    </row>
    <row r="749" spans="1:3" x14ac:dyDescent="0.25">
      <c r="A749" s="16">
        <v>54106</v>
      </c>
      <c r="C749" s="16">
        <v>58547</v>
      </c>
    </row>
    <row r="750" spans="1:3" x14ac:dyDescent="0.25">
      <c r="A750" s="16">
        <v>54151</v>
      </c>
      <c r="C750" s="16">
        <v>58552</v>
      </c>
    </row>
    <row r="751" spans="1:3" x14ac:dyDescent="0.25">
      <c r="A751" s="16">
        <v>54169</v>
      </c>
      <c r="C751" s="16">
        <v>58562</v>
      </c>
    </row>
    <row r="752" spans="1:3" x14ac:dyDescent="0.25">
      <c r="A752" s="16">
        <v>54179</v>
      </c>
      <c r="C752" s="16">
        <v>58609</v>
      </c>
    </row>
    <row r="753" spans="1:3" x14ac:dyDescent="0.25">
      <c r="A753" s="16">
        <v>54213</v>
      </c>
      <c r="C753" s="16">
        <v>58691</v>
      </c>
    </row>
    <row r="754" spans="1:3" x14ac:dyDescent="0.25">
      <c r="A754" s="16">
        <v>54308</v>
      </c>
      <c r="C754" s="16">
        <v>58726</v>
      </c>
    </row>
    <row r="755" spans="1:3" x14ac:dyDescent="0.25">
      <c r="A755" s="16">
        <v>54343</v>
      </c>
      <c r="C755" s="16">
        <v>58747</v>
      </c>
    </row>
    <row r="756" spans="1:3" x14ac:dyDescent="0.25">
      <c r="A756" s="16">
        <v>54364</v>
      </c>
      <c r="C756" s="16">
        <v>58760</v>
      </c>
    </row>
    <row r="757" spans="1:3" x14ac:dyDescent="0.25">
      <c r="A757" s="16">
        <v>54377</v>
      </c>
      <c r="C757" s="16">
        <v>58765</v>
      </c>
    </row>
    <row r="758" spans="1:3" x14ac:dyDescent="0.25">
      <c r="A758" s="16">
        <v>54382</v>
      </c>
      <c r="C758" s="16">
        <v>58800</v>
      </c>
    </row>
    <row r="759" spans="1:3" x14ac:dyDescent="0.25">
      <c r="A759" s="16">
        <v>54416</v>
      </c>
      <c r="C759" s="16">
        <v>58807</v>
      </c>
    </row>
    <row r="760" spans="1:3" x14ac:dyDescent="0.25">
      <c r="A760" s="16">
        <v>54417</v>
      </c>
      <c r="C760" s="16">
        <v>58858</v>
      </c>
    </row>
    <row r="761" spans="1:3" x14ac:dyDescent="0.25">
      <c r="A761" s="16">
        <v>54423</v>
      </c>
      <c r="C761" s="16">
        <v>58859</v>
      </c>
    </row>
    <row r="762" spans="1:3" x14ac:dyDescent="0.25">
      <c r="A762" s="16">
        <v>54424</v>
      </c>
      <c r="C762" s="16">
        <v>58904</v>
      </c>
    </row>
    <row r="763" spans="1:3" x14ac:dyDescent="0.25">
      <c r="A763" s="16">
        <v>54483</v>
      </c>
      <c r="C763" s="16">
        <v>58917</v>
      </c>
    </row>
    <row r="764" spans="1:3" x14ac:dyDescent="0.25">
      <c r="A764" s="16">
        <v>54484</v>
      </c>
      <c r="C764" s="16">
        <v>58927</v>
      </c>
    </row>
    <row r="765" spans="1:3" x14ac:dyDescent="0.25">
      <c r="A765" s="16">
        <v>54529</v>
      </c>
      <c r="C765" s="16">
        <v>58966</v>
      </c>
    </row>
    <row r="766" spans="1:3" x14ac:dyDescent="0.25">
      <c r="A766" s="16">
        <v>54534</v>
      </c>
      <c r="C766" s="16">
        <v>59056</v>
      </c>
    </row>
    <row r="767" spans="1:3" x14ac:dyDescent="0.25">
      <c r="A767" s="16">
        <v>54544</v>
      </c>
      <c r="C767" s="16">
        <v>59091</v>
      </c>
    </row>
    <row r="768" spans="1:3" x14ac:dyDescent="0.25">
      <c r="A768" s="16">
        <v>54591</v>
      </c>
      <c r="C768" s="16">
        <v>59112</v>
      </c>
    </row>
    <row r="769" spans="1:3" x14ac:dyDescent="0.25">
      <c r="A769" s="16">
        <v>54673</v>
      </c>
      <c r="C769" s="16">
        <v>59125</v>
      </c>
    </row>
    <row r="770" spans="1:3" x14ac:dyDescent="0.25">
      <c r="A770" s="16">
        <v>54708</v>
      </c>
      <c r="C770" s="16">
        <v>59130</v>
      </c>
    </row>
    <row r="771" spans="1:3" x14ac:dyDescent="0.25">
      <c r="A771" s="16">
        <v>54729</v>
      </c>
      <c r="C771" s="16">
        <v>59165</v>
      </c>
    </row>
    <row r="772" spans="1:3" x14ac:dyDescent="0.25">
      <c r="A772" s="16">
        <v>54742</v>
      </c>
      <c r="C772" s="16">
        <v>59172</v>
      </c>
    </row>
    <row r="773" spans="1:3" x14ac:dyDescent="0.25">
      <c r="A773" s="16">
        <v>54747</v>
      </c>
      <c r="C773" s="16">
        <v>59208</v>
      </c>
    </row>
    <row r="774" spans="1:3" x14ac:dyDescent="0.25">
      <c r="A774" s="16">
        <v>54781</v>
      </c>
      <c r="C774" s="16">
        <v>59209</v>
      </c>
    </row>
    <row r="775" spans="1:3" x14ac:dyDescent="0.25">
      <c r="A775" s="16">
        <v>54782</v>
      </c>
      <c r="C775" s="16">
        <v>59254</v>
      </c>
    </row>
    <row r="776" spans="1:3" x14ac:dyDescent="0.25">
      <c r="A776" s="16">
        <v>54788</v>
      </c>
      <c r="C776" s="16">
        <v>59282</v>
      </c>
    </row>
    <row r="777" spans="1:3" x14ac:dyDescent="0.25">
      <c r="A777" s="16">
        <v>54789</v>
      </c>
      <c r="C777" s="16">
        <v>59292</v>
      </c>
    </row>
    <row r="778" spans="1:3" x14ac:dyDescent="0.25">
      <c r="A778" s="16">
        <v>54840</v>
      </c>
      <c r="C778" s="16">
        <v>59316</v>
      </c>
    </row>
    <row r="779" spans="1:3" x14ac:dyDescent="0.25">
      <c r="A779" s="16">
        <v>54841</v>
      </c>
      <c r="C779" s="16">
        <v>59421</v>
      </c>
    </row>
    <row r="780" spans="1:3" x14ac:dyDescent="0.25">
      <c r="A780" s="16">
        <v>54886</v>
      </c>
      <c r="C780" s="16">
        <v>59456</v>
      </c>
    </row>
    <row r="781" spans="1:3" x14ac:dyDescent="0.25">
      <c r="A781" s="16">
        <v>54899</v>
      </c>
      <c r="C781" s="16">
        <v>59477</v>
      </c>
    </row>
    <row r="782" spans="1:3" x14ac:dyDescent="0.25">
      <c r="A782" s="16">
        <v>54909</v>
      </c>
      <c r="C782" s="16">
        <v>59490</v>
      </c>
    </row>
    <row r="783" spans="1:3" x14ac:dyDescent="0.25">
      <c r="A783" s="16">
        <v>54948</v>
      </c>
      <c r="C783" s="16">
        <v>59495</v>
      </c>
    </row>
    <row r="784" spans="1:3" x14ac:dyDescent="0.25">
      <c r="A784" s="16">
        <v>55038</v>
      </c>
      <c r="C784" s="16">
        <v>59530</v>
      </c>
    </row>
    <row r="785" spans="1:3" x14ac:dyDescent="0.25">
      <c r="A785" s="16">
        <v>55073</v>
      </c>
      <c r="C785" s="16">
        <v>59537</v>
      </c>
    </row>
    <row r="786" spans="1:3" x14ac:dyDescent="0.25">
      <c r="A786" s="16">
        <v>55094</v>
      </c>
      <c r="C786" s="16">
        <v>59593</v>
      </c>
    </row>
    <row r="787" spans="1:3" x14ac:dyDescent="0.25">
      <c r="A787" s="16">
        <v>55107</v>
      </c>
      <c r="C787" s="16">
        <v>59594</v>
      </c>
    </row>
    <row r="788" spans="1:3" x14ac:dyDescent="0.25">
      <c r="A788" s="16">
        <v>55112</v>
      </c>
      <c r="C788" s="16">
        <v>59639</v>
      </c>
    </row>
    <row r="789" spans="1:3" x14ac:dyDescent="0.25">
      <c r="A789" s="16">
        <v>55146</v>
      </c>
      <c r="C789" s="16">
        <v>59647</v>
      </c>
    </row>
    <row r="790" spans="1:3" x14ac:dyDescent="0.25">
      <c r="A790" s="16">
        <v>55147</v>
      </c>
      <c r="C790" s="16">
        <v>59657</v>
      </c>
    </row>
    <row r="791" spans="1:3" x14ac:dyDescent="0.25">
      <c r="A791" s="16">
        <v>55153</v>
      </c>
      <c r="C791" s="16">
        <v>59701</v>
      </c>
    </row>
    <row r="792" spans="1:3" x14ac:dyDescent="0.25">
      <c r="A792" s="16">
        <v>55154</v>
      </c>
      <c r="C792" s="16">
        <v>59786</v>
      </c>
    </row>
    <row r="793" spans="1:3" x14ac:dyDescent="0.25">
      <c r="A793" s="16">
        <v>55197</v>
      </c>
      <c r="C793" s="16">
        <v>59821</v>
      </c>
    </row>
    <row r="794" spans="1:3" x14ac:dyDescent="0.25">
      <c r="A794" s="16">
        <v>55198</v>
      </c>
      <c r="C794" s="16">
        <v>59842</v>
      </c>
    </row>
    <row r="795" spans="1:3" x14ac:dyDescent="0.25">
      <c r="A795" s="16">
        <v>55243</v>
      </c>
      <c r="C795" s="16">
        <v>59855</v>
      </c>
    </row>
    <row r="796" spans="1:3" x14ac:dyDescent="0.25">
      <c r="A796" s="16">
        <v>55264</v>
      </c>
      <c r="C796" s="16">
        <v>59860</v>
      </c>
    </row>
    <row r="797" spans="1:3" x14ac:dyDescent="0.25">
      <c r="A797" s="16">
        <v>55274</v>
      </c>
      <c r="C797" s="16">
        <v>59895</v>
      </c>
    </row>
    <row r="798" spans="1:3" x14ac:dyDescent="0.25">
      <c r="A798" s="16">
        <v>55305</v>
      </c>
      <c r="C798" s="16">
        <v>59902</v>
      </c>
    </row>
    <row r="799" spans="1:3" x14ac:dyDescent="0.25">
      <c r="A799" s="16">
        <v>55403</v>
      </c>
      <c r="C799" s="16">
        <v>59950</v>
      </c>
    </row>
    <row r="800" spans="1:3" x14ac:dyDescent="0.25">
      <c r="A800" s="16">
        <v>55438</v>
      </c>
      <c r="C800" s="16">
        <v>59951</v>
      </c>
    </row>
    <row r="801" spans="1:3" x14ac:dyDescent="0.25">
      <c r="A801" s="16">
        <v>55459</v>
      </c>
      <c r="C801" s="16">
        <v>59996</v>
      </c>
    </row>
    <row r="802" spans="1:3" x14ac:dyDescent="0.25">
      <c r="A802" s="16">
        <v>55472</v>
      </c>
      <c r="C802" s="16">
        <v>60013</v>
      </c>
    </row>
    <row r="803" spans="1:3" x14ac:dyDescent="0.25">
      <c r="A803" s="16">
        <v>55477</v>
      </c>
      <c r="C803" s="16">
        <v>60023</v>
      </c>
    </row>
    <row r="804" spans="1:3" x14ac:dyDescent="0.25">
      <c r="A804" s="16">
        <v>55511</v>
      </c>
      <c r="C804" s="16">
        <v>60058</v>
      </c>
    </row>
    <row r="805" spans="1:3" x14ac:dyDescent="0.25">
      <c r="A805" s="16">
        <v>55512</v>
      </c>
      <c r="C805" s="16">
        <v>60152</v>
      </c>
    </row>
    <row r="806" spans="1:3" x14ac:dyDescent="0.25">
      <c r="A806" s="16">
        <v>55518</v>
      </c>
      <c r="C806" s="16">
        <v>60187</v>
      </c>
    </row>
    <row r="807" spans="1:3" x14ac:dyDescent="0.25">
      <c r="A807" s="16">
        <v>55519</v>
      </c>
      <c r="C807" s="16">
        <v>60208</v>
      </c>
    </row>
    <row r="808" spans="1:3" x14ac:dyDescent="0.25">
      <c r="A808" s="16">
        <v>55582</v>
      </c>
      <c r="C808" s="16">
        <v>60221</v>
      </c>
    </row>
    <row r="809" spans="1:3" x14ac:dyDescent="0.25">
      <c r="A809" s="16">
        <v>55583</v>
      </c>
      <c r="C809" s="16">
        <v>60226</v>
      </c>
    </row>
    <row r="810" spans="1:3" x14ac:dyDescent="0.25">
      <c r="A810" s="16">
        <v>55628</v>
      </c>
      <c r="C810" s="16">
        <v>60261</v>
      </c>
    </row>
    <row r="811" spans="1:3" x14ac:dyDescent="0.25">
      <c r="A811" s="16">
        <v>55630</v>
      </c>
      <c r="C811" s="16">
        <v>60268</v>
      </c>
    </row>
    <row r="812" spans="1:3" x14ac:dyDescent="0.25">
      <c r="A812" s="16">
        <v>55640</v>
      </c>
      <c r="C812" s="16">
        <v>60307</v>
      </c>
    </row>
    <row r="813" spans="1:3" x14ac:dyDescent="0.25">
      <c r="A813" s="16">
        <v>55690</v>
      </c>
      <c r="C813" s="16">
        <v>60308</v>
      </c>
    </row>
    <row r="814" spans="1:3" x14ac:dyDescent="0.25">
      <c r="A814" s="16">
        <v>55769</v>
      </c>
      <c r="C814" s="16">
        <v>60353</v>
      </c>
    </row>
    <row r="815" spans="1:3" x14ac:dyDescent="0.25">
      <c r="A815" s="16">
        <v>55804</v>
      </c>
      <c r="C815" s="16">
        <v>60378</v>
      </c>
    </row>
    <row r="816" spans="1:3" x14ac:dyDescent="0.25">
      <c r="A816" s="16">
        <v>55825</v>
      </c>
      <c r="C816" s="16">
        <v>60388</v>
      </c>
    </row>
    <row r="817" spans="1:3" x14ac:dyDescent="0.25">
      <c r="A817" s="16">
        <v>55838</v>
      </c>
      <c r="C817" s="16">
        <v>60415</v>
      </c>
    </row>
    <row r="818" spans="1:3" x14ac:dyDescent="0.25">
      <c r="A818" s="16">
        <v>55843</v>
      </c>
      <c r="C818" s="16">
        <v>60517</v>
      </c>
    </row>
    <row r="819" spans="1:3" x14ac:dyDescent="0.25">
      <c r="A819" s="16">
        <v>55877</v>
      </c>
      <c r="C819" s="16">
        <v>60552</v>
      </c>
    </row>
    <row r="820" spans="1:3" x14ac:dyDescent="0.25">
      <c r="A820" s="16">
        <v>55878</v>
      </c>
      <c r="C820" s="16">
        <v>60573</v>
      </c>
    </row>
    <row r="821" spans="1:3" x14ac:dyDescent="0.25">
      <c r="A821" s="16">
        <v>55884</v>
      </c>
      <c r="C821" s="16">
        <v>60586</v>
      </c>
    </row>
    <row r="822" spans="1:3" x14ac:dyDescent="0.25">
      <c r="A822" s="16">
        <v>55885</v>
      </c>
      <c r="C822" s="16">
        <v>60591</v>
      </c>
    </row>
    <row r="823" spans="1:3" x14ac:dyDescent="0.25">
      <c r="A823" s="16">
        <v>55932</v>
      </c>
      <c r="C823" s="16">
        <v>60626</v>
      </c>
    </row>
    <row r="824" spans="1:3" x14ac:dyDescent="0.25">
      <c r="A824" s="16">
        <v>55933</v>
      </c>
      <c r="C824" s="16">
        <v>60633</v>
      </c>
    </row>
    <row r="825" spans="1:3" x14ac:dyDescent="0.25">
      <c r="A825" s="16">
        <v>55978</v>
      </c>
      <c r="C825" s="16">
        <v>60685</v>
      </c>
    </row>
    <row r="826" spans="1:3" x14ac:dyDescent="0.25">
      <c r="A826" s="16">
        <v>55995</v>
      </c>
      <c r="C826" s="16">
        <v>60686</v>
      </c>
    </row>
    <row r="827" spans="1:3" x14ac:dyDescent="0.25">
      <c r="A827" s="16">
        <v>56005</v>
      </c>
      <c r="C827" s="16">
        <v>60731</v>
      </c>
    </row>
    <row r="828" spans="1:3" x14ac:dyDescent="0.25">
      <c r="A828" s="16">
        <v>56040</v>
      </c>
      <c r="C828" s="16">
        <v>60743</v>
      </c>
    </row>
    <row r="829" spans="1:3" x14ac:dyDescent="0.25">
      <c r="A829" s="16">
        <v>56134</v>
      </c>
      <c r="C829" s="16">
        <v>60753</v>
      </c>
    </row>
    <row r="830" spans="1:3" x14ac:dyDescent="0.25">
      <c r="A830" s="16">
        <v>56169</v>
      </c>
      <c r="C830" s="16">
        <v>60793</v>
      </c>
    </row>
    <row r="831" spans="1:3" x14ac:dyDescent="0.25">
      <c r="A831" s="16">
        <v>56190</v>
      </c>
      <c r="C831" s="16">
        <v>60882</v>
      </c>
    </row>
    <row r="832" spans="1:3" x14ac:dyDescent="0.25">
      <c r="A832" s="16">
        <v>56203</v>
      </c>
      <c r="C832" s="16">
        <v>60917</v>
      </c>
    </row>
    <row r="833" spans="1:3" x14ac:dyDescent="0.25">
      <c r="A833" s="16">
        <v>56208</v>
      </c>
      <c r="C833" s="16">
        <v>60938</v>
      </c>
    </row>
    <row r="834" spans="1:3" x14ac:dyDescent="0.25">
      <c r="A834" s="16">
        <v>56242</v>
      </c>
      <c r="C834" s="16">
        <v>60951</v>
      </c>
    </row>
    <row r="835" spans="1:3" x14ac:dyDescent="0.25">
      <c r="A835" s="16">
        <v>56243</v>
      </c>
      <c r="C835" s="16">
        <v>60956</v>
      </c>
    </row>
    <row r="836" spans="1:3" x14ac:dyDescent="0.25">
      <c r="A836" s="16">
        <v>56249</v>
      </c>
      <c r="C836" s="16">
        <v>60991</v>
      </c>
    </row>
    <row r="837" spans="1:3" x14ac:dyDescent="0.25">
      <c r="A837" s="16">
        <v>56250</v>
      </c>
      <c r="C837" s="16">
        <v>60998</v>
      </c>
    </row>
    <row r="838" spans="1:3" x14ac:dyDescent="0.25">
      <c r="A838" s="16">
        <v>56289</v>
      </c>
      <c r="C838" s="16">
        <v>61042</v>
      </c>
    </row>
    <row r="839" spans="1:3" x14ac:dyDescent="0.25">
      <c r="A839" s="16">
        <v>56290</v>
      </c>
      <c r="C839" s="16">
        <v>61043</v>
      </c>
    </row>
    <row r="840" spans="1:3" x14ac:dyDescent="0.25">
      <c r="A840" s="16">
        <v>56335</v>
      </c>
      <c r="C840" s="16">
        <v>61088</v>
      </c>
    </row>
    <row r="841" spans="1:3" x14ac:dyDescent="0.25">
      <c r="A841" s="16">
        <v>56360</v>
      </c>
      <c r="C841" s="16">
        <v>61108</v>
      </c>
    </row>
    <row r="842" spans="1:3" x14ac:dyDescent="0.25">
      <c r="A842" s="16">
        <v>56370</v>
      </c>
      <c r="C842" s="16">
        <v>61118</v>
      </c>
    </row>
    <row r="843" spans="1:3" x14ac:dyDescent="0.25">
      <c r="A843" s="16">
        <v>56397</v>
      </c>
      <c r="C843" s="16">
        <v>61150</v>
      </c>
    </row>
    <row r="844" spans="1:3" x14ac:dyDescent="0.25">
      <c r="A844" s="16">
        <v>56499</v>
      </c>
      <c r="C844" s="16">
        <v>61247</v>
      </c>
    </row>
    <row r="845" spans="1:3" x14ac:dyDescent="0.25">
      <c r="A845" s="16">
        <v>56534</v>
      </c>
      <c r="C845" s="16">
        <v>61282</v>
      </c>
    </row>
    <row r="846" spans="1:3" x14ac:dyDescent="0.25">
      <c r="A846" s="16">
        <v>56555</v>
      </c>
      <c r="C846" s="16">
        <v>61303</v>
      </c>
    </row>
    <row r="847" spans="1:3" x14ac:dyDescent="0.25">
      <c r="A847" s="16">
        <v>56568</v>
      </c>
      <c r="C847" s="16">
        <v>61316</v>
      </c>
    </row>
    <row r="848" spans="1:3" x14ac:dyDescent="0.25">
      <c r="A848" s="16">
        <v>56573</v>
      </c>
      <c r="C848" s="16">
        <v>61321</v>
      </c>
    </row>
    <row r="849" spans="1:3" x14ac:dyDescent="0.25">
      <c r="A849" s="16">
        <v>56607</v>
      </c>
      <c r="C849" s="16">
        <v>61356</v>
      </c>
    </row>
    <row r="850" spans="1:3" x14ac:dyDescent="0.25">
      <c r="A850" s="16">
        <v>56608</v>
      </c>
      <c r="C850" s="16">
        <v>61363</v>
      </c>
    </row>
    <row r="851" spans="1:3" x14ac:dyDescent="0.25">
      <c r="A851" s="16">
        <v>56614</v>
      </c>
      <c r="C851" s="16">
        <v>61427</v>
      </c>
    </row>
    <row r="852" spans="1:3" x14ac:dyDescent="0.25">
      <c r="A852" s="16">
        <v>56615</v>
      </c>
      <c r="C852" s="16">
        <v>61428</v>
      </c>
    </row>
    <row r="853" spans="1:3" x14ac:dyDescent="0.25">
      <c r="A853" s="16">
        <v>56674</v>
      </c>
      <c r="C853" s="16">
        <v>61473</v>
      </c>
    </row>
    <row r="854" spans="1:3" x14ac:dyDescent="0.25">
      <c r="A854" s="16">
        <v>56675</v>
      </c>
      <c r="C854" s="16">
        <v>61474</v>
      </c>
    </row>
    <row r="855" spans="1:3" x14ac:dyDescent="0.25">
      <c r="A855" s="16">
        <v>56720</v>
      </c>
      <c r="C855" s="16">
        <v>61484</v>
      </c>
    </row>
    <row r="856" spans="1:3" x14ac:dyDescent="0.25">
      <c r="A856" s="16">
        <v>56725</v>
      </c>
      <c r="C856" s="16">
        <v>61535</v>
      </c>
    </row>
    <row r="857" spans="1:3" x14ac:dyDescent="0.25">
      <c r="A857" s="16">
        <v>56735</v>
      </c>
      <c r="C857" s="16">
        <v>61613</v>
      </c>
    </row>
    <row r="858" spans="1:3" x14ac:dyDescent="0.25">
      <c r="A858" s="16">
        <v>56782</v>
      </c>
      <c r="C858" s="16">
        <v>61648</v>
      </c>
    </row>
    <row r="859" spans="1:3" x14ac:dyDescent="0.25">
      <c r="A859" s="16">
        <v>56864</v>
      </c>
      <c r="C859" s="16">
        <v>61669</v>
      </c>
    </row>
    <row r="860" spans="1:3" x14ac:dyDescent="0.25">
      <c r="A860" s="16">
        <v>56899</v>
      </c>
      <c r="C860" s="16">
        <v>61682</v>
      </c>
    </row>
    <row r="861" spans="1:3" x14ac:dyDescent="0.25">
      <c r="A861" s="16">
        <v>56920</v>
      </c>
      <c r="C861" s="16">
        <v>61687</v>
      </c>
    </row>
    <row r="862" spans="1:3" x14ac:dyDescent="0.25">
      <c r="A862" s="16">
        <v>56933</v>
      </c>
      <c r="C862" s="16">
        <v>61722</v>
      </c>
    </row>
    <row r="863" spans="1:3" x14ac:dyDescent="0.25">
      <c r="A863" s="16">
        <v>56938</v>
      </c>
      <c r="C863" s="16">
        <v>61729</v>
      </c>
    </row>
    <row r="864" spans="1:3" x14ac:dyDescent="0.25">
      <c r="A864" s="16">
        <v>56972</v>
      </c>
      <c r="C864" s="16">
        <v>61784</v>
      </c>
    </row>
    <row r="865" spans="1:3" x14ac:dyDescent="0.25">
      <c r="A865" s="16">
        <v>56973</v>
      </c>
      <c r="C865" s="16">
        <v>61785</v>
      </c>
    </row>
    <row r="866" spans="1:3" x14ac:dyDescent="0.25">
      <c r="A866" s="16">
        <v>56979</v>
      </c>
      <c r="C866" s="16">
        <v>61830</v>
      </c>
    </row>
    <row r="867" spans="1:3" x14ac:dyDescent="0.25">
      <c r="A867" s="16">
        <v>56980</v>
      </c>
      <c r="C867" s="16">
        <v>61839</v>
      </c>
    </row>
    <row r="868" spans="1:3" x14ac:dyDescent="0.25">
      <c r="A868" s="16">
        <v>57024</v>
      </c>
      <c r="C868" s="16">
        <v>61849</v>
      </c>
    </row>
    <row r="869" spans="1:3" x14ac:dyDescent="0.25">
      <c r="C869" s="16">
        <v>61892</v>
      </c>
    </row>
    <row r="870" spans="1:3" x14ac:dyDescent="0.25">
      <c r="C870" s="16">
        <v>61978</v>
      </c>
    </row>
    <row r="871" spans="1:3" x14ac:dyDescent="0.25">
      <c r="C871" s="16">
        <v>62013</v>
      </c>
    </row>
    <row r="872" spans="1:3" x14ac:dyDescent="0.25">
      <c r="C872" s="16">
        <v>62034</v>
      </c>
    </row>
    <row r="873" spans="1:3" x14ac:dyDescent="0.25">
      <c r="C873" s="16">
        <v>62047</v>
      </c>
    </row>
    <row r="874" spans="1:3" x14ac:dyDescent="0.25">
      <c r="C874" s="16">
        <v>62052</v>
      </c>
    </row>
    <row r="875" spans="1:3" x14ac:dyDescent="0.25">
      <c r="C875" s="16">
        <v>62087</v>
      </c>
    </row>
    <row r="876" spans="1:3" x14ac:dyDescent="0.25">
      <c r="C876" s="16">
        <v>62094</v>
      </c>
    </row>
    <row r="877" spans="1:3" x14ac:dyDescent="0.25">
      <c r="C877" s="16">
        <v>62134</v>
      </c>
    </row>
    <row r="878" spans="1:3" x14ac:dyDescent="0.25">
      <c r="C878" s="16">
        <v>62135</v>
      </c>
    </row>
    <row r="879" spans="1:3" x14ac:dyDescent="0.25">
      <c r="C879" s="16">
        <v>62180</v>
      </c>
    </row>
    <row r="880" spans="1:3" x14ac:dyDescent="0.25">
      <c r="C880" s="16">
        <v>62204</v>
      </c>
    </row>
    <row r="881" spans="3:3" x14ac:dyDescent="0.25">
      <c r="C881" s="16">
        <v>62214</v>
      </c>
    </row>
    <row r="882" spans="3:3" x14ac:dyDescent="0.25">
      <c r="C882" s="16">
        <v>62242</v>
      </c>
    </row>
    <row r="883" spans="3:3" x14ac:dyDescent="0.25">
      <c r="C883" s="16">
        <v>62343</v>
      </c>
    </row>
    <row r="884" spans="3:3" x14ac:dyDescent="0.25">
      <c r="C884" s="16">
        <v>62378</v>
      </c>
    </row>
    <row r="885" spans="3:3" x14ac:dyDescent="0.25">
      <c r="C885" s="16">
        <v>62399</v>
      </c>
    </row>
    <row r="886" spans="3:3" x14ac:dyDescent="0.25">
      <c r="C886" s="16">
        <v>62412</v>
      </c>
    </row>
    <row r="887" spans="3:3" x14ac:dyDescent="0.25">
      <c r="C887" s="16">
        <v>62417</v>
      </c>
    </row>
    <row r="888" spans="3:3" x14ac:dyDescent="0.25">
      <c r="C888" s="16">
        <v>62452</v>
      </c>
    </row>
    <row r="889" spans="3:3" x14ac:dyDescent="0.25">
      <c r="C889" s="16">
        <v>62459</v>
      </c>
    </row>
    <row r="890" spans="3:3" x14ac:dyDescent="0.25">
      <c r="C890" s="16">
        <v>62519</v>
      </c>
    </row>
    <row r="891" spans="3:3" x14ac:dyDescent="0.25">
      <c r="C891" s="16">
        <v>62520</v>
      </c>
    </row>
    <row r="892" spans="3:3" x14ac:dyDescent="0.25">
      <c r="C892" s="16">
        <v>62565</v>
      </c>
    </row>
    <row r="893" spans="3:3" x14ac:dyDescent="0.25">
      <c r="C893" s="16">
        <v>62569</v>
      </c>
    </row>
    <row r="894" spans="3:3" x14ac:dyDescent="0.25">
      <c r="C894" s="16">
        <v>62579</v>
      </c>
    </row>
    <row r="895" spans="3:3" x14ac:dyDescent="0.25">
      <c r="C895" s="16">
        <v>62627</v>
      </c>
    </row>
    <row r="896" spans="3:3" x14ac:dyDescent="0.25">
      <c r="C896" s="16">
        <v>62708</v>
      </c>
    </row>
    <row r="897" spans="3:3" x14ac:dyDescent="0.25">
      <c r="C897" s="16">
        <v>62743</v>
      </c>
    </row>
    <row r="898" spans="3:3" x14ac:dyDescent="0.25">
      <c r="C898" s="16">
        <v>62764</v>
      </c>
    </row>
    <row r="899" spans="3:3" x14ac:dyDescent="0.25">
      <c r="C899" s="16">
        <v>62777</v>
      </c>
    </row>
    <row r="900" spans="3:3" x14ac:dyDescent="0.25">
      <c r="C900" s="16">
        <v>62782</v>
      </c>
    </row>
    <row r="901" spans="3:3" x14ac:dyDescent="0.25">
      <c r="C901" s="16">
        <v>62817</v>
      </c>
    </row>
    <row r="902" spans="3:3" x14ac:dyDescent="0.25">
      <c r="C902" s="16">
        <v>62824</v>
      </c>
    </row>
    <row r="903" spans="3:3" x14ac:dyDescent="0.25">
      <c r="C903" s="16">
        <v>62876</v>
      </c>
    </row>
    <row r="904" spans="3:3" x14ac:dyDescent="0.25">
      <c r="C904" s="16">
        <v>62877</v>
      </c>
    </row>
    <row r="905" spans="3:3" x14ac:dyDescent="0.25">
      <c r="C905" s="16">
        <v>62922</v>
      </c>
    </row>
    <row r="906" spans="3:3" x14ac:dyDescent="0.25">
      <c r="C906" s="16">
        <v>62935</v>
      </c>
    </row>
    <row r="907" spans="3:3" x14ac:dyDescent="0.25">
      <c r="C907" s="16">
        <v>62945</v>
      </c>
    </row>
    <row r="908" spans="3:3" x14ac:dyDescent="0.25">
      <c r="C908" s="16">
        <v>62984</v>
      </c>
    </row>
    <row r="909" spans="3:3" x14ac:dyDescent="0.25">
      <c r="C909" s="16">
        <v>63074</v>
      </c>
    </row>
    <row r="910" spans="3:3" x14ac:dyDescent="0.25">
      <c r="C910" s="16">
        <v>63109</v>
      </c>
    </row>
    <row r="911" spans="3:3" x14ac:dyDescent="0.25">
      <c r="C911" s="16">
        <v>63130</v>
      </c>
    </row>
    <row r="912" spans="3:3" x14ac:dyDescent="0.25">
      <c r="C912" s="16">
        <v>63143</v>
      </c>
    </row>
    <row r="913" spans="3:3" x14ac:dyDescent="0.25">
      <c r="C913" s="16">
        <v>63148</v>
      </c>
    </row>
    <row r="914" spans="3:3" x14ac:dyDescent="0.25">
      <c r="C914" s="16">
        <v>63183</v>
      </c>
    </row>
    <row r="915" spans="3:3" x14ac:dyDescent="0.25">
      <c r="C915" s="16">
        <v>63190</v>
      </c>
    </row>
    <row r="916" spans="3:3" x14ac:dyDescent="0.25">
      <c r="C916" s="16">
        <v>63226</v>
      </c>
    </row>
    <row r="917" spans="3:3" x14ac:dyDescent="0.25">
      <c r="C917" s="16">
        <v>63227</v>
      </c>
    </row>
    <row r="918" spans="3:3" x14ac:dyDescent="0.25">
      <c r="C918" s="16">
        <v>63272</v>
      </c>
    </row>
    <row r="919" spans="3:3" x14ac:dyDescent="0.25">
      <c r="C919" s="16">
        <v>63300</v>
      </c>
    </row>
    <row r="920" spans="3:3" x14ac:dyDescent="0.25">
      <c r="C920" s="16">
        <v>63310</v>
      </c>
    </row>
    <row r="921" spans="3:3" x14ac:dyDescent="0.25">
      <c r="C921" s="16">
        <v>63334</v>
      </c>
    </row>
    <row r="922" spans="3:3" x14ac:dyDescent="0.25">
      <c r="C922" s="16">
        <v>63439</v>
      </c>
    </row>
    <row r="923" spans="3:3" x14ac:dyDescent="0.25">
      <c r="C923" s="16">
        <v>63474</v>
      </c>
    </row>
    <row r="924" spans="3:3" x14ac:dyDescent="0.25">
      <c r="C924" s="16">
        <v>63495</v>
      </c>
    </row>
    <row r="925" spans="3:3" x14ac:dyDescent="0.25">
      <c r="C925" s="16">
        <v>63508</v>
      </c>
    </row>
    <row r="926" spans="3:3" x14ac:dyDescent="0.25">
      <c r="C926" s="16">
        <v>63513</v>
      </c>
    </row>
    <row r="927" spans="3:3" x14ac:dyDescent="0.25">
      <c r="C927" s="16">
        <v>63548</v>
      </c>
    </row>
    <row r="928" spans="3:3" x14ac:dyDescent="0.25">
      <c r="C928" s="16">
        <v>63555</v>
      </c>
    </row>
    <row r="929" spans="3:3" x14ac:dyDescent="0.25">
      <c r="C929" s="16">
        <v>63611</v>
      </c>
    </row>
    <row r="930" spans="3:3" x14ac:dyDescent="0.25">
      <c r="C930" s="16">
        <v>63612</v>
      </c>
    </row>
    <row r="931" spans="3:3" x14ac:dyDescent="0.25">
      <c r="C931" s="16">
        <v>63657</v>
      </c>
    </row>
    <row r="932" spans="3:3" x14ac:dyDescent="0.25">
      <c r="C932" s="16">
        <v>63665</v>
      </c>
    </row>
    <row r="933" spans="3:3" x14ac:dyDescent="0.25">
      <c r="C933" s="16">
        <v>63675</v>
      </c>
    </row>
    <row r="934" spans="3:3" x14ac:dyDescent="0.25">
      <c r="C934" s="16">
        <v>63719</v>
      </c>
    </row>
    <row r="935" spans="3:3" x14ac:dyDescent="0.25">
      <c r="C935" s="16">
        <v>63804</v>
      </c>
    </row>
    <row r="936" spans="3:3" x14ac:dyDescent="0.25">
      <c r="C936" s="16">
        <v>63839</v>
      </c>
    </row>
    <row r="937" spans="3:3" x14ac:dyDescent="0.25">
      <c r="C937" s="16">
        <v>63860</v>
      </c>
    </row>
    <row r="938" spans="3:3" x14ac:dyDescent="0.25">
      <c r="C938" s="16">
        <v>63873</v>
      </c>
    </row>
    <row r="939" spans="3:3" x14ac:dyDescent="0.25">
      <c r="C939" s="16">
        <v>63878</v>
      </c>
    </row>
    <row r="940" spans="3:3" x14ac:dyDescent="0.25">
      <c r="C940" s="16">
        <v>63913</v>
      </c>
    </row>
    <row r="941" spans="3:3" x14ac:dyDescent="0.25">
      <c r="C941" s="16">
        <v>63920</v>
      </c>
    </row>
    <row r="942" spans="3:3" x14ac:dyDescent="0.25">
      <c r="C942" s="16">
        <v>63968</v>
      </c>
    </row>
    <row r="943" spans="3:3" x14ac:dyDescent="0.25">
      <c r="C943" s="16">
        <v>63969</v>
      </c>
    </row>
    <row r="944" spans="3:3" x14ac:dyDescent="0.25">
      <c r="C944" s="16">
        <v>64014</v>
      </c>
    </row>
    <row r="945" spans="3:3" x14ac:dyDescent="0.25">
      <c r="C945" s="16">
        <v>64030</v>
      </c>
    </row>
    <row r="946" spans="3:3" x14ac:dyDescent="0.25">
      <c r="C946" s="16">
        <v>64040</v>
      </c>
    </row>
    <row r="947" spans="3:3" x14ac:dyDescent="0.25">
      <c r="C947" s="16">
        <v>64076</v>
      </c>
    </row>
    <row r="948" spans="3:3" x14ac:dyDescent="0.25">
      <c r="C948" s="16">
        <v>64169</v>
      </c>
    </row>
    <row r="949" spans="3:3" x14ac:dyDescent="0.25">
      <c r="C949" s="16">
        <v>64204</v>
      </c>
    </row>
    <row r="950" spans="3:3" x14ac:dyDescent="0.25">
      <c r="C950" s="16">
        <v>64225</v>
      </c>
    </row>
    <row r="951" spans="3:3" x14ac:dyDescent="0.25">
      <c r="C951" s="16">
        <v>64238</v>
      </c>
    </row>
    <row r="952" spans="3:3" x14ac:dyDescent="0.25">
      <c r="C952" s="16">
        <v>64243</v>
      </c>
    </row>
    <row r="953" spans="3:3" x14ac:dyDescent="0.25">
      <c r="C953" s="16">
        <v>64278</v>
      </c>
    </row>
    <row r="954" spans="3:3" x14ac:dyDescent="0.25">
      <c r="C954" s="16">
        <v>64285</v>
      </c>
    </row>
    <row r="955" spans="3:3" x14ac:dyDescent="0.25">
      <c r="C955" s="16">
        <v>64346</v>
      </c>
    </row>
    <row r="956" spans="3:3" x14ac:dyDescent="0.25">
      <c r="C956" s="16">
        <v>64347</v>
      </c>
    </row>
    <row r="957" spans="3:3" x14ac:dyDescent="0.25">
      <c r="C957" s="16">
        <v>64392</v>
      </c>
    </row>
    <row r="958" spans="3:3" x14ac:dyDescent="0.25">
      <c r="C958" s="16">
        <v>64396</v>
      </c>
    </row>
    <row r="959" spans="3:3" x14ac:dyDescent="0.25">
      <c r="C959" s="16">
        <v>64406</v>
      </c>
    </row>
    <row r="960" spans="3:3" x14ac:dyDescent="0.25">
      <c r="C960" s="16">
        <v>64454</v>
      </c>
    </row>
    <row r="961" spans="3:3" x14ac:dyDescent="0.25">
      <c r="C961" s="16">
        <v>64535</v>
      </c>
    </row>
    <row r="962" spans="3:3" x14ac:dyDescent="0.25">
      <c r="C962" s="16">
        <v>64570</v>
      </c>
    </row>
    <row r="963" spans="3:3" x14ac:dyDescent="0.25">
      <c r="C963" s="16">
        <v>64591</v>
      </c>
    </row>
    <row r="964" spans="3:3" x14ac:dyDescent="0.25">
      <c r="C964" s="16">
        <v>64604</v>
      </c>
    </row>
    <row r="965" spans="3:3" x14ac:dyDescent="0.25">
      <c r="C965" s="16">
        <v>64609</v>
      </c>
    </row>
    <row r="966" spans="3:3" x14ac:dyDescent="0.25">
      <c r="C966" s="16">
        <v>64644</v>
      </c>
    </row>
    <row r="967" spans="3:3" x14ac:dyDescent="0.25">
      <c r="C967" s="16">
        <v>64651</v>
      </c>
    </row>
    <row r="968" spans="3:3" x14ac:dyDescent="0.25">
      <c r="C968" s="16">
        <v>64703</v>
      </c>
    </row>
    <row r="969" spans="3:3" x14ac:dyDescent="0.25">
      <c r="C969" s="16">
        <v>64704</v>
      </c>
    </row>
    <row r="970" spans="3:3" x14ac:dyDescent="0.25">
      <c r="C970" s="16">
        <v>64749</v>
      </c>
    </row>
    <row r="971" spans="3:3" x14ac:dyDescent="0.25">
      <c r="C971" s="16">
        <v>64761</v>
      </c>
    </row>
    <row r="972" spans="3:3" x14ac:dyDescent="0.25">
      <c r="C972" s="16">
        <v>64771</v>
      </c>
    </row>
    <row r="973" spans="3:3" x14ac:dyDescent="0.25">
      <c r="C973" s="16">
        <v>64811</v>
      </c>
    </row>
    <row r="974" spans="3:3" x14ac:dyDescent="0.25">
      <c r="C974" s="16">
        <v>64900</v>
      </c>
    </row>
    <row r="975" spans="3:3" x14ac:dyDescent="0.25">
      <c r="C975" s="16">
        <v>64935</v>
      </c>
    </row>
    <row r="976" spans="3:3" x14ac:dyDescent="0.25">
      <c r="C976" s="16">
        <v>64956</v>
      </c>
    </row>
    <row r="977" spans="3:3" x14ac:dyDescent="0.25">
      <c r="C977" s="16">
        <v>64969</v>
      </c>
    </row>
    <row r="978" spans="3:3" x14ac:dyDescent="0.25">
      <c r="C978" s="16">
        <v>64974</v>
      </c>
    </row>
    <row r="979" spans="3:3" x14ac:dyDescent="0.25">
      <c r="C979" s="16">
        <v>65009</v>
      </c>
    </row>
    <row r="980" spans="3:3" x14ac:dyDescent="0.25">
      <c r="C980" s="16">
        <v>65016</v>
      </c>
    </row>
    <row r="981" spans="3:3" x14ac:dyDescent="0.25">
      <c r="C981" s="16">
        <v>65060</v>
      </c>
    </row>
    <row r="982" spans="3:3" x14ac:dyDescent="0.25">
      <c r="C982" s="16">
        <v>65061</v>
      </c>
    </row>
    <row r="983" spans="3:3" x14ac:dyDescent="0.25">
      <c r="C983" s="16">
        <v>65106</v>
      </c>
    </row>
    <row r="984" spans="3:3" x14ac:dyDescent="0.25">
      <c r="C984" s="16">
        <v>65126</v>
      </c>
    </row>
    <row r="985" spans="3:3" x14ac:dyDescent="0.25">
      <c r="C985" s="16">
        <v>65136</v>
      </c>
    </row>
    <row r="986" spans="3:3" x14ac:dyDescent="0.25">
      <c r="C986" s="16">
        <v>65168</v>
      </c>
    </row>
    <row r="987" spans="3:3" x14ac:dyDescent="0.25">
      <c r="C987" s="16">
        <v>65265</v>
      </c>
    </row>
    <row r="988" spans="3:3" x14ac:dyDescent="0.25">
      <c r="C988" s="16">
        <v>65300</v>
      </c>
    </row>
    <row r="989" spans="3:3" x14ac:dyDescent="0.25">
      <c r="C989" s="16">
        <v>65321</v>
      </c>
    </row>
    <row r="990" spans="3:3" x14ac:dyDescent="0.25">
      <c r="C990" s="16">
        <v>65334</v>
      </c>
    </row>
    <row r="991" spans="3:3" x14ac:dyDescent="0.25">
      <c r="C991" s="16">
        <v>65339</v>
      </c>
    </row>
    <row r="992" spans="3:3" x14ac:dyDescent="0.25">
      <c r="C992" s="16">
        <v>65374</v>
      </c>
    </row>
    <row r="993" spans="3:3" x14ac:dyDescent="0.25">
      <c r="C993" s="16">
        <v>65381</v>
      </c>
    </row>
    <row r="994" spans="3:3" x14ac:dyDescent="0.25">
      <c r="C994" s="16">
        <v>65445</v>
      </c>
    </row>
    <row r="995" spans="3:3" x14ac:dyDescent="0.25">
      <c r="C995" s="16">
        <v>65446</v>
      </c>
    </row>
    <row r="996" spans="3:3" x14ac:dyDescent="0.25">
      <c r="C996" s="16">
        <v>65491</v>
      </c>
    </row>
    <row r="997" spans="3:3" x14ac:dyDescent="0.25">
      <c r="C997" s="16">
        <v>65491</v>
      </c>
    </row>
    <row r="998" spans="3:3" x14ac:dyDescent="0.25">
      <c r="C998" s="16">
        <v>65501</v>
      </c>
    </row>
    <row r="999" spans="3:3" x14ac:dyDescent="0.25">
      <c r="C999" s="16">
        <v>65553</v>
      </c>
    </row>
    <row r="1000" spans="3:3" x14ac:dyDescent="0.25">
      <c r="C1000" s="16">
        <v>65630</v>
      </c>
    </row>
    <row r="1001" spans="3:3" x14ac:dyDescent="0.25">
      <c r="C1001" s="16">
        <v>65665</v>
      </c>
    </row>
    <row r="1002" spans="3:3" x14ac:dyDescent="0.25">
      <c r="C1002" s="16">
        <v>65686</v>
      </c>
    </row>
    <row r="1003" spans="3:3" x14ac:dyDescent="0.25">
      <c r="C1003" s="16">
        <v>65699</v>
      </c>
    </row>
    <row r="1004" spans="3:3" x14ac:dyDescent="0.25">
      <c r="C1004" s="16">
        <v>65704</v>
      </c>
    </row>
    <row r="1005" spans="3:3" x14ac:dyDescent="0.25">
      <c r="C1005" s="16">
        <v>65739</v>
      </c>
    </row>
    <row r="1006" spans="3:3" x14ac:dyDescent="0.25">
      <c r="C1006" s="16">
        <v>65746</v>
      </c>
    </row>
    <row r="1007" spans="3:3" x14ac:dyDescent="0.25">
      <c r="C1007" s="16">
        <v>65795</v>
      </c>
    </row>
    <row r="1008" spans="3:3" x14ac:dyDescent="0.25">
      <c r="C1008" s="16">
        <v>65796</v>
      </c>
    </row>
    <row r="1009" spans="3:3" x14ac:dyDescent="0.25">
      <c r="C1009" s="16">
        <v>65841</v>
      </c>
    </row>
    <row r="1010" spans="3:3" x14ac:dyDescent="0.25">
      <c r="C1010" s="16">
        <v>65857</v>
      </c>
    </row>
    <row r="1011" spans="3:3" x14ac:dyDescent="0.25">
      <c r="C1011" s="16">
        <v>65867</v>
      </c>
    </row>
    <row r="1012" spans="3:3" x14ac:dyDescent="0.25">
      <c r="C1012" s="16">
        <v>65903</v>
      </c>
    </row>
    <row r="1013" spans="3:3" x14ac:dyDescent="0.25">
      <c r="C1013" s="16">
        <v>65996</v>
      </c>
    </row>
    <row r="1014" spans="3:3" x14ac:dyDescent="0.25">
      <c r="C1014" s="16">
        <v>66031</v>
      </c>
    </row>
    <row r="1015" spans="3:3" x14ac:dyDescent="0.25">
      <c r="C1015" s="16">
        <v>66052</v>
      </c>
    </row>
    <row r="1016" spans="3:3" x14ac:dyDescent="0.25">
      <c r="C1016" s="16">
        <v>66065</v>
      </c>
    </row>
    <row r="1017" spans="3:3" x14ac:dyDescent="0.25">
      <c r="C1017" s="16">
        <v>66070</v>
      </c>
    </row>
    <row r="1018" spans="3:3" x14ac:dyDescent="0.25">
      <c r="C1018" s="16">
        <v>66105</v>
      </c>
    </row>
    <row r="1019" spans="3:3" x14ac:dyDescent="0.25">
      <c r="C1019" s="16">
        <v>66112</v>
      </c>
    </row>
    <row r="1020" spans="3:3" x14ac:dyDescent="0.25">
      <c r="C1020" s="16">
        <v>66152</v>
      </c>
    </row>
    <row r="1021" spans="3:3" x14ac:dyDescent="0.25">
      <c r="C1021" s="16">
        <v>66153</v>
      </c>
    </row>
    <row r="1022" spans="3:3" x14ac:dyDescent="0.25">
      <c r="C1022" s="16">
        <v>66198</v>
      </c>
    </row>
    <row r="1023" spans="3:3" x14ac:dyDescent="0.25">
      <c r="C1023" s="16">
        <v>66222</v>
      </c>
    </row>
    <row r="1024" spans="3:3" x14ac:dyDescent="0.25">
      <c r="C1024" s="16">
        <v>66232</v>
      </c>
    </row>
    <row r="1025" spans="3:3" x14ac:dyDescent="0.25">
      <c r="C1025" s="16">
        <v>66260</v>
      </c>
    </row>
    <row r="1026" spans="3:3" x14ac:dyDescent="0.25">
      <c r="C1026" s="16">
        <v>66361</v>
      </c>
    </row>
    <row r="1027" spans="3:3" x14ac:dyDescent="0.25">
      <c r="C1027" s="16">
        <v>66396</v>
      </c>
    </row>
    <row r="1028" spans="3:3" x14ac:dyDescent="0.25">
      <c r="C1028" s="16">
        <v>66417</v>
      </c>
    </row>
    <row r="1029" spans="3:3" x14ac:dyDescent="0.25">
      <c r="C1029" s="16">
        <v>66430</v>
      </c>
    </row>
    <row r="1030" spans="3:3" x14ac:dyDescent="0.25">
      <c r="C1030" s="16">
        <v>66435</v>
      </c>
    </row>
    <row r="1031" spans="3:3" x14ac:dyDescent="0.25">
      <c r="C1031" s="16">
        <v>66470</v>
      </c>
    </row>
    <row r="1032" spans="3:3" x14ac:dyDescent="0.25">
      <c r="C1032" s="16">
        <v>66477</v>
      </c>
    </row>
    <row r="1033" spans="3:3" x14ac:dyDescent="0.25">
      <c r="C1033" s="16">
        <v>66537</v>
      </c>
    </row>
    <row r="1034" spans="3:3" x14ac:dyDescent="0.25">
      <c r="C1034" s="16">
        <v>66538</v>
      </c>
    </row>
    <row r="1035" spans="3:3" x14ac:dyDescent="0.25">
      <c r="C1035" s="16">
        <v>66583</v>
      </c>
    </row>
    <row r="1036" spans="3:3" x14ac:dyDescent="0.25">
      <c r="C1036" s="16">
        <v>66587</v>
      </c>
    </row>
    <row r="1037" spans="3:3" x14ac:dyDescent="0.25">
      <c r="C1037" s="16">
        <v>66597</v>
      </c>
    </row>
    <row r="1038" spans="3:3" x14ac:dyDescent="0.25">
      <c r="C1038" s="16">
        <v>66645</v>
      </c>
    </row>
    <row r="1039" spans="3:3" x14ac:dyDescent="0.25">
      <c r="C1039" s="16">
        <v>66726</v>
      </c>
    </row>
    <row r="1040" spans="3:3" x14ac:dyDescent="0.25">
      <c r="C1040" s="16">
        <v>66761</v>
      </c>
    </row>
    <row r="1041" spans="3:3" x14ac:dyDescent="0.25">
      <c r="C1041" s="16">
        <v>66782</v>
      </c>
    </row>
    <row r="1042" spans="3:3" x14ac:dyDescent="0.25">
      <c r="C1042" s="16">
        <v>66795</v>
      </c>
    </row>
    <row r="1043" spans="3:3" x14ac:dyDescent="0.25">
      <c r="C1043" s="16">
        <v>66800</v>
      </c>
    </row>
    <row r="1044" spans="3:3" x14ac:dyDescent="0.25">
      <c r="C1044" s="16">
        <v>66835</v>
      </c>
    </row>
    <row r="1045" spans="3:3" x14ac:dyDescent="0.25">
      <c r="C1045" s="16">
        <v>66842</v>
      </c>
    </row>
    <row r="1046" spans="3:3" x14ac:dyDescent="0.25">
      <c r="C1046" s="16">
        <v>66887</v>
      </c>
    </row>
    <row r="1047" spans="3:3" x14ac:dyDescent="0.25">
      <c r="C1047" s="16">
        <v>66888</v>
      </c>
    </row>
    <row r="1048" spans="3:3" x14ac:dyDescent="0.25">
      <c r="C1048" s="16">
        <v>66933</v>
      </c>
    </row>
    <row r="1049" spans="3:3" x14ac:dyDescent="0.25">
      <c r="C1049" s="16">
        <v>66952</v>
      </c>
    </row>
    <row r="1050" spans="3:3" x14ac:dyDescent="0.25">
      <c r="C1050" s="16">
        <v>66962</v>
      </c>
    </row>
    <row r="1051" spans="3:3" x14ac:dyDescent="0.25">
      <c r="C1051" s="16">
        <v>66995</v>
      </c>
    </row>
    <row r="1052" spans="3:3" x14ac:dyDescent="0.25">
      <c r="C1052" s="16">
        <v>67091</v>
      </c>
    </row>
    <row r="1053" spans="3:3" x14ac:dyDescent="0.25">
      <c r="C1053" s="16">
        <v>67126</v>
      </c>
    </row>
    <row r="1054" spans="3:3" x14ac:dyDescent="0.25">
      <c r="C1054" s="16">
        <v>67147</v>
      </c>
    </row>
    <row r="1055" spans="3:3" x14ac:dyDescent="0.25">
      <c r="C1055" s="16">
        <v>67160</v>
      </c>
    </row>
    <row r="1056" spans="3:3" x14ac:dyDescent="0.25">
      <c r="C1056" s="16">
        <v>67165</v>
      </c>
    </row>
    <row r="1057" spans="3:3" x14ac:dyDescent="0.25">
      <c r="C1057" s="16">
        <v>67200</v>
      </c>
    </row>
    <row r="1058" spans="3:3" x14ac:dyDescent="0.25">
      <c r="C1058" s="16">
        <v>67207</v>
      </c>
    </row>
    <row r="1059" spans="3:3" x14ac:dyDescent="0.25">
      <c r="C1059" s="16">
        <v>67244</v>
      </c>
    </row>
    <row r="1060" spans="3:3" x14ac:dyDescent="0.25">
      <c r="C1060" s="16">
        <v>67245</v>
      </c>
    </row>
    <row r="1061" spans="3:3" x14ac:dyDescent="0.25">
      <c r="C1061" s="16">
        <v>67290</v>
      </c>
    </row>
    <row r="1062" spans="3:3" x14ac:dyDescent="0.25">
      <c r="C1062" s="16">
        <v>67318</v>
      </c>
    </row>
    <row r="1063" spans="3:3" x14ac:dyDescent="0.25">
      <c r="C1063" s="16">
        <v>67328</v>
      </c>
    </row>
    <row r="1064" spans="3:3" x14ac:dyDescent="0.25">
      <c r="C1064" s="16">
        <v>67352</v>
      </c>
    </row>
    <row r="1065" spans="3:3" x14ac:dyDescent="0.25">
      <c r="C1065" s="16">
        <v>67457</v>
      </c>
    </row>
    <row r="1066" spans="3:3" x14ac:dyDescent="0.25">
      <c r="C1066" s="16">
        <v>67492</v>
      </c>
    </row>
    <row r="1067" spans="3:3" x14ac:dyDescent="0.25">
      <c r="C1067" s="16">
        <v>67513</v>
      </c>
    </row>
    <row r="1068" spans="3:3" x14ac:dyDescent="0.25">
      <c r="C1068" s="16">
        <v>67526</v>
      </c>
    </row>
    <row r="1069" spans="3:3" x14ac:dyDescent="0.25">
      <c r="C1069" s="16">
        <v>67531</v>
      </c>
    </row>
    <row r="1070" spans="3:3" x14ac:dyDescent="0.25">
      <c r="C1070" s="16">
        <v>67566</v>
      </c>
    </row>
    <row r="1071" spans="3:3" x14ac:dyDescent="0.25">
      <c r="C1071" s="16">
        <v>67573</v>
      </c>
    </row>
    <row r="1072" spans="3:3" x14ac:dyDescent="0.25">
      <c r="C1072" s="16">
        <v>67629</v>
      </c>
    </row>
    <row r="1073" spans="3:3" x14ac:dyDescent="0.25">
      <c r="C1073" s="16">
        <v>67630</v>
      </c>
    </row>
    <row r="1074" spans="3:3" x14ac:dyDescent="0.25">
      <c r="C1074" s="16">
        <v>67675</v>
      </c>
    </row>
    <row r="1075" spans="3:3" x14ac:dyDescent="0.25">
      <c r="C1075" s="16">
        <v>67683</v>
      </c>
    </row>
    <row r="1076" spans="3:3" x14ac:dyDescent="0.25">
      <c r="C1076" s="16">
        <v>67693</v>
      </c>
    </row>
    <row r="1077" spans="3:3" x14ac:dyDescent="0.25">
      <c r="C1077" s="16">
        <v>67737</v>
      </c>
    </row>
    <row r="1078" spans="3:3" x14ac:dyDescent="0.25">
      <c r="C1078" s="16">
        <v>67822</v>
      </c>
    </row>
    <row r="1079" spans="3:3" x14ac:dyDescent="0.25">
      <c r="C1079" s="16">
        <v>67857</v>
      </c>
    </row>
    <row r="1080" spans="3:3" x14ac:dyDescent="0.25">
      <c r="C1080" s="16">
        <v>67878</v>
      </c>
    </row>
    <row r="1081" spans="3:3" x14ac:dyDescent="0.25">
      <c r="C1081" s="16">
        <v>67891</v>
      </c>
    </row>
    <row r="1082" spans="3:3" x14ac:dyDescent="0.25">
      <c r="C1082" s="16">
        <v>67896</v>
      </c>
    </row>
    <row r="1083" spans="3:3" x14ac:dyDescent="0.25">
      <c r="C1083" s="16">
        <v>67931</v>
      </c>
    </row>
    <row r="1084" spans="3:3" x14ac:dyDescent="0.25">
      <c r="C1084" s="16">
        <v>67938</v>
      </c>
    </row>
    <row r="1085" spans="3:3" x14ac:dyDescent="0.25">
      <c r="C1085" s="16">
        <v>67979</v>
      </c>
    </row>
    <row r="1086" spans="3:3" x14ac:dyDescent="0.25">
      <c r="C1086" s="16">
        <v>67980</v>
      </c>
    </row>
    <row r="1087" spans="3:3" x14ac:dyDescent="0.25">
      <c r="C1087" s="16">
        <v>68025</v>
      </c>
    </row>
    <row r="1088" spans="3:3" x14ac:dyDescent="0.25">
      <c r="C1088" s="16">
        <v>68048</v>
      </c>
    </row>
    <row r="1089" spans="3:3" x14ac:dyDescent="0.25">
      <c r="C1089" s="16">
        <v>68058</v>
      </c>
    </row>
    <row r="1090" spans="3:3" x14ac:dyDescent="0.25">
      <c r="C1090" s="16">
        <v>68087</v>
      </c>
    </row>
    <row r="1091" spans="3:3" x14ac:dyDescent="0.25">
      <c r="C1091" s="16">
        <v>68187</v>
      </c>
    </row>
    <row r="1092" spans="3:3" x14ac:dyDescent="0.25">
      <c r="C1092" s="16">
        <v>68222</v>
      </c>
    </row>
    <row r="1093" spans="3:3" x14ac:dyDescent="0.25">
      <c r="C1093" s="16">
        <v>68243</v>
      </c>
    </row>
    <row r="1094" spans="3:3" x14ac:dyDescent="0.25">
      <c r="C1094" s="16">
        <v>68256</v>
      </c>
    </row>
    <row r="1095" spans="3:3" x14ac:dyDescent="0.25">
      <c r="C1095" s="16">
        <v>68261</v>
      </c>
    </row>
    <row r="1096" spans="3:3" x14ac:dyDescent="0.25">
      <c r="C1096" s="16">
        <v>68296</v>
      </c>
    </row>
    <row r="1097" spans="3:3" x14ac:dyDescent="0.25">
      <c r="C1097" s="16">
        <v>68303</v>
      </c>
    </row>
    <row r="1098" spans="3:3" x14ac:dyDescent="0.25">
      <c r="C1098" s="16">
        <v>68364</v>
      </c>
    </row>
    <row r="1099" spans="3:3" x14ac:dyDescent="0.25">
      <c r="C1099" s="16">
        <v>68365</v>
      </c>
    </row>
    <row r="1100" spans="3:3" x14ac:dyDescent="0.25">
      <c r="C1100" s="16">
        <v>68410</v>
      </c>
    </row>
    <row r="1101" spans="3:3" x14ac:dyDescent="0.25">
      <c r="C1101" s="16">
        <v>68413</v>
      </c>
    </row>
    <row r="1102" spans="3:3" x14ac:dyDescent="0.25">
      <c r="C1102" s="16">
        <v>68423</v>
      </c>
    </row>
    <row r="1103" spans="3:3" x14ac:dyDescent="0.25">
      <c r="C1103" s="16">
        <v>68472</v>
      </c>
    </row>
    <row r="1104" spans="3:3" x14ac:dyDescent="0.25">
      <c r="C1104" s="16">
        <v>68552</v>
      </c>
    </row>
    <row r="1105" spans="3:3" x14ac:dyDescent="0.25">
      <c r="C1105" s="16">
        <v>68587</v>
      </c>
    </row>
    <row r="1106" spans="3:3" x14ac:dyDescent="0.25">
      <c r="C1106" s="16">
        <v>68608</v>
      </c>
    </row>
    <row r="1107" spans="3:3" x14ac:dyDescent="0.25">
      <c r="C1107" s="16">
        <v>68621</v>
      </c>
    </row>
    <row r="1108" spans="3:3" x14ac:dyDescent="0.25">
      <c r="C1108" s="16">
        <v>68626</v>
      </c>
    </row>
    <row r="1109" spans="3:3" x14ac:dyDescent="0.25">
      <c r="C1109" s="16">
        <v>68661</v>
      </c>
    </row>
    <row r="1110" spans="3:3" x14ac:dyDescent="0.25">
      <c r="C1110" s="16">
        <v>68668</v>
      </c>
    </row>
    <row r="1111" spans="3:3" x14ac:dyDescent="0.25">
      <c r="C1111" s="16">
        <v>68721</v>
      </c>
    </row>
    <row r="1112" spans="3:3" x14ac:dyDescent="0.25">
      <c r="C1112" s="16">
        <v>68722</v>
      </c>
    </row>
    <row r="1113" spans="3:3" x14ac:dyDescent="0.25">
      <c r="C1113" s="16">
        <v>68767</v>
      </c>
    </row>
    <row r="1114" spans="3:3" x14ac:dyDescent="0.25">
      <c r="C1114" s="16">
        <v>68779</v>
      </c>
    </row>
    <row r="1115" spans="3:3" x14ac:dyDescent="0.25">
      <c r="C1115" s="16">
        <v>68789</v>
      </c>
    </row>
    <row r="1116" spans="3:3" x14ac:dyDescent="0.25">
      <c r="C1116" s="16">
        <v>68829</v>
      </c>
    </row>
    <row r="1117" spans="3:3" x14ac:dyDescent="0.25">
      <c r="C1117" s="16">
        <v>68918</v>
      </c>
    </row>
    <row r="1118" spans="3:3" x14ac:dyDescent="0.25">
      <c r="C1118" s="16">
        <v>68953</v>
      </c>
    </row>
    <row r="1119" spans="3:3" x14ac:dyDescent="0.25">
      <c r="C1119" s="16">
        <v>68974</v>
      </c>
    </row>
    <row r="1120" spans="3:3" x14ac:dyDescent="0.25">
      <c r="C1120" s="16">
        <v>68987</v>
      </c>
    </row>
    <row r="1121" spans="3:3" x14ac:dyDescent="0.25">
      <c r="C1121" s="16">
        <v>68992</v>
      </c>
    </row>
    <row r="1122" spans="3:3" x14ac:dyDescent="0.25">
      <c r="C1122" s="16">
        <v>69027</v>
      </c>
    </row>
    <row r="1123" spans="3:3" x14ac:dyDescent="0.25">
      <c r="C1123" s="16">
        <v>69034</v>
      </c>
    </row>
    <row r="1124" spans="3:3" x14ac:dyDescent="0.25">
      <c r="C1124" s="16">
        <v>69078</v>
      </c>
    </row>
    <row r="1125" spans="3:3" x14ac:dyDescent="0.25">
      <c r="C1125" s="16">
        <v>69079</v>
      </c>
    </row>
    <row r="1126" spans="3:3" x14ac:dyDescent="0.25">
      <c r="C1126" s="16">
        <v>69124</v>
      </c>
    </row>
    <row r="1127" spans="3:3" x14ac:dyDescent="0.25">
      <c r="C1127" s="16">
        <v>69144</v>
      </c>
    </row>
    <row r="1128" spans="3:3" x14ac:dyDescent="0.25">
      <c r="C1128" s="16">
        <v>69154</v>
      </c>
    </row>
    <row r="1129" spans="3:3" x14ac:dyDescent="0.25">
      <c r="C1129" s="16">
        <v>69186</v>
      </c>
    </row>
    <row r="1130" spans="3:3" x14ac:dyDescent="0.25">
      <c r="C1130" s="16">
        <v>69283</v>
      </c>
    </row>
    <row r="1131" spans="3:3" x14ac:dyDescent="0.25">
      <c r="C1131" s="16">
        <v>69318</v>
      </c>
    </row>
    <row r="1132" spans="3:3" x14ac:dyDescent="0.25">
      <c r="C1132" s="16">
        <v>69339</v>
      </c>
    </row>
    <row r="1133" spans="3:3" x14ac:dyDescent="0.25">
      <c r="C1133" s="16">
        <v>69352</v>
      </c>
    </row>
    <row r="1134" spans="3:3" x14ac:dyDescent="0.25">
      <c r="C1134" s="16">
        <v>69357</v>
      </c>
    </row>
    <row r="1135" spans="3:3" x14ac:dyDescent="0.25">
      <c r="C1135" s="16">
        <v>69392</v>
      </c>
    </row>
    <row r="1136" spans="3:3" x14ac:dyDescent="0.25">
      <c r="C1136" s="16">
        <v>69399</v>
      </c>
    </row>
    <row r="1137" spans="3:3" x14ac:dyDescent="0.25">
      <c r="C1137" s="16">
        <v>69456</v>
      </c>
    </row>
    <row r="1138" spans="3:3" x14ac:dyDescent="0.25">
      <c r="C1138" s="16">
        <v>69457</v>
      </c>
    </row>
    <row r="1139" spans="3:3" x14ac:dyDescent="0.25">
      <c r="C1139" s="16">
        <v>69502</v>
      </c>
    </row>
    <row r="1140" spans="3:3" x14ac:dyDescent="0.25">
      <c r="C1140" s="16">
        <v>69509</v>
      </c>
    </row>
    <row r="1141" spans="3:3" x14ac:dyDescent="0.25">
      <c r="C1141" s="16">
        <v>69519</v>
      </c>
    </row>
    <row r="1142" spans="3:3" x14ac:dyDescent="0.25">
      <c r="C1142" s="16">
        <v>69564</v>
      </c>
    </row>
    <row r="1143" spans="3:3" x14ac:dyDescent="0.25">
      <c r="C1143" s="16">
        <v>69648</v>
      </c>
    </row>
    <row r="1144" spans="3:3" x14ac:dyDescent="0.25">
      <c r="C1144" s="16">
        <v>69683</v>
      </c>
    </row>
    <row r="1145" spans="3:3" x14ac:dyDescent="0.25">
      <c r="C1145" s="16">
        <v>69704</v>
      </c>
    </row>
    <row r="1146" spans="3:3" x14ac:dyDescent="0.25">
      <c r="C1146" s="16">
        <v>69717</v>
      </c>
    </row>
    <row r="1147" spans="3:3" x14ac:dyDescent="0.25">
      <c r="C1147" s="16">
        <v>69722</v>
      </c>
    </row>
    <row r="1148" spans="3:3" x14ac:dyDescent="0.25">
      <c r="C1148" s="16">
        <v>69757</v>
      </c>
    </row>
    <row r="1149" spans="3:3" x14ac:dyDescent="0.25">
      <c r="C1149" s="16">
        <v>69764</v>
      </c>
    </row>
    <row r="1150" spans="3:3" x14ac:dyDescent="0.25">
      <c r="C1150" s="16">
        <v>69813</v>
      </c>
    </row>
    <row r="1151" spans="3:3" x14ac:dyDescent="0.25">
      <c r="C1151" s="16">
        <v>69814</v>
      </c>
    </row>
    <row r="1152" spans="3:3" x14ac:dyDescent="0.25">
      <c r="C1152" s="16">
        <v>69859</v>
      </c>
    </row>
    <row r="1153" spans="3:3" x14ac:dyDescent="0.25">
      <c r="C1153" s="16">
        <v>69874</v>
      </c>
    </row>
    <row r="1154" spans="3:3" x14ac:dyDescent="0.25">
      <c r="C1154" s="16">
        <v>69884</v>
      </c>
    </row>
    <row r="1155" spans="3:3" x14ac:dyDescent="0.25">
      <c r="C1155" s="16">
        <v>69921</v>
      </c>
    </row>
    <row r="1156" spans="3:3" x14ac:dyDescent="0.25">
      <c r="C1156" s="16">
        <v>70013</v>
      </c>
    </row>
    <row r="1157" spans="3:3" x14ac:dyDescent="0.25">
      <c r="C1157" s="16">
        <v>70048</v>
      </c>
    </row>
    <row r="1158" spans="3:3" x14ac:dyDescent="0.25">
      <c r="C1158" s="16">
        <v>70069</v>
      </c>
    </row>
    <row r="1159" spans="3:3" x14ac:dyDescent="0.25">
      <c r="C1159" s="16">
        <v>70082</v>
      </c>
    </row>
    <row r="1160" spans="3:3" x14ac:dyDescent="0.25">
      <c r="C1160" s="16">
        <v>70087</v>
      </c>
    </row>
    <row r="1161" spans="3:3" x14ac:dyDescent="0.25">
      <c r="C1161" s="16">
        <v>70122</v>
      </c>
    </row>
    <row r="1162" spans="3:3" x14ac:dyDescent="0.25">
      <c r="C1162" s="16">
        <v>70129</v>
      </c>
    </row>
    <row r="1163" spans="3:3" x14ac:dyDescent="0.25">
      <c r="C1163" s="16">
        <v>70170</v>
      </c>
    </row>
    <row r="1164" spans="3:3" x14ac:dyDescent="0.25">
      <c r="C1164" s="16">
        <v>70171</v>
      </c>
    </row>
    <row r="1165" spans="3:3" x14ac:dyDescent="0.25">
      <c r="C1165" s="16">
        <v>70216</v>
      </c>
    </row>
    <row r="1166" spans="3:3" x14ac:dyDescent="0.25">
      <c r="C1166" s="16">
        <v>70240</v>
      </c>
    </row>
    <row r="1167" spans="3:3" x14ac:dyDescent="0.25">
      <c r="C1167" s="16">
        <v>70250</v>
      </c>
    </row>
    <row r="1168" spans="3:3" x14ac:dyDescent="0.25">
      <c r="C1168" s="16">
        <v>70278</v>
      </c>
    </row>
    <row r="1169" spans="3:3" x14ac:dyDescent="0.25">
      <c r="C1169" s="16">
        <v>70379</v>
      </c>
    </row>
    <row r="1170" spans="3:3" x14ac:dyDescent="0.25">
      <c r="C1170" s="16">
        <v>70414</v>
      </c>
    </row>
    <row r="1171" spans="3:3" x14ac:dyDescent="0.25">
      <c r="C1171" s="16">
        <v>70435</v>
      </c>
    </row>
    <row r="1172" spans="3:3" x14ac:dyDescent="0.25">
      <c r="C1172" s="16">
        <v>70448</v>
      </c>
    </row>
    <row r="1173" spans="3:3" x14ac:dyDescent="0.25">
      <c r="C1173" s="16">
        <v>70453</v>
      </c>
    </row>
    <row r="1174" spans="3:3" x14ac:dyDescent="0.25">
      <c r="C1174" s="16">
        <v>70488</v>
      </c>
    </row>
    <row r="1175" spans="3:3" x14ac:dyDescent="0.25">
      <c r="C1175" s="16">
        <v>70495</v>
      </c>
    </row>
    <row r="1176" spans="3:3" x14ac:dyDescent="0.25">
      <c r="C1176" s="16">
        <v>70548</v>
      </c>
    </row>
    <row r="1177" spans="3:3" x14ac:dyDescent="0.25">
      <c r="C1177" s="16">
        <v>70549</v>
      </c>
    </row>
    <row r="1178" spans="3:3" x14ac:dyDescent="0.25">
      <c r="C1178" s="16">
        <v>70594</v>
      </c>
    </row>
    <row r="1179" spans="3:3" x14ac:dyDescent="0.25">
      <c r="C1179" s="16">
        <v>70605</v>
      </c>
    </row>
    <row r="1180" spans="3:3" x14ac:dyDescent="0.25">
      <c r="C1180" s="16">
        <v>70615</v>
      </c>
    </row>
    <row r="1181" spans="3:3" x14ac:dyDescent="0.25">
      <c r="C1181" s="16">
        <v>70656</v>
      </c>
    </row>
    <row r="1182" spans="3:3" x14ac:dyDescent="0.25">
      <c r="C1182" s="16">
        <v>70744</v>
      </c>
    </row>
    <row r="1183" spans="3:3" x14ac:dyDescent="0.25">
      <c r="C1183" s="16">
        <v>70779</v>
      </c>
    </row>
    <row r="1184" spans="3:3" x14ac:dyDescent="0.25">
      <c r="C1184" s="16">
        <v>70800</v>
      </c>
    </row>
    <row r="1185" spans="3:3" x14ac:dyDescent="0.25">
      <c r="C1185" s="16">
        <v>70813</v>
      </c>
    </row>
    <row r="1186" spans="3:3" x14ac:dyDescent="0.25">
      <c r="C1186" s="16">
        <v>70818</v>
      </c>
    </row>
    <row r="1187" spans="3:3" x14ac:dyDescent="0.25">
      <c r="C1187" s="16">
        <v>70853</v>
      </c>
    </row>
    <row r="1188" spans="3:3" x14ac:dyDescent="0.25">
      <c r="C1188" s="16">
        <v>70860</v>
      </c>
    </row>
    <row r="1189" spans="3:3" x14ac:dyDescent="0.25">
      <c r="C1189" s="16">
        <v>70905</v>
      </c>
    </row>
    <row r="1190" spans="3:3" x14ac:dyDescent="0.25">
      <c r="C1190" s="16">
        <v>70906</v>
      </c>
    </row>
    <row r="1191" spans="3:3" x14ac:dyDescent="0.25">
      <c r="C1191" s="16">
        <v>70951</v>
      </c>
    </row>
    <row r="1192" spans="3:3" x14ac:dyDescent="0.25">
      <c r="C1192" s="16">
        <v>70970</v>
      </c>
    </row>
    <row r="1193" spans="3:3" x14ac:dyDescent="0.25">
      <c r="C1193" s="16">
        <v>70980</v>
      </c>
    </row>
    <row r="1194" spans="3:3" x14ac:dyDescent="0.25">
      <c r="C1194" s="16">
        <v>71013</v>
      </c>
    </row>
    <row r="1195" spans="3:3" x14ac:dyDescent="0.25">
      <c r="C1195" s="16">
        <v>71109</v>
      </c>
    </row>
    <row r="1196" spans="3:3" x14ac:dyDescent="0.25">
      <c r="C1196" s="16">
        <v>71144</v>
      </c>
    </row>
    <row r="1197" spans="3:3" x14ac:dyDescent="0.25">
      <c r="C1197" s="16">
        <v>71165</v>
      </c>
    </row>
    <row r="1198" spans="3:3" x14ac:dyDescent="0.25">
      <c r="C1198" s="16">
        <v>71178</v>
      </c>
    </row>
    <row r="1199" spans="3:3" x14ac:dyDescent="0.25">
      <c r="C1199" s="16">
        <v>71183</v>
      </c>
    </row>
    <row r="1200" spans="3:3" x14ac:dyDescent="0.25">
      <c r="C1200" s="16">
        <v>71218</v>
      </c>
    </row>
    <row r="1201" spans="3:3" x14ac:dyDescent="0.25">
      <c r="C1201" s="16">
        <v>71225</v>
      </c>
    </row>
    <row r="1202" spans="3:3" x14ac:dyDescent="0.25">
      <c r="C1202" s="16">
        <v>71290</v>
      </c>
    </row>
    <row r="1203" spans="3:3" x14ac:dyDescent="0.25">
      <c r="C1203" s="16">
        <v>71291</v>
      </c>
    </row>
    <row r="1204" spans="3:3" x14ac:dyDescent="0.25">
      <c r="C1204" s="16">
        <v>71335</v>
      </c>
    </row>
    <row r="1205" spans="3:3" x14ac:dyDescent="0.25">
      <c r="C1205" s="16">
        <v>71336</v>
      </c>
    </row>
    <row r="1206" spans="3:3" x14ac:dyDescent="0.25">
      <c r="C1206" s="16">
        <v>71345</v>
      </c>
    </row>
    <row r="1207" spans="3:3" x14ac:dyDescent="0.25">
      <c r="C1207" s="16">
        <v>71398</v>
      </c>
    </row>
    <row r="1208" spans="3:3" x14ac:dyDescent="0.25">
      <c r="C1208" s="16">
        <v>71474</v>
      </c>
    </row>
    <row r="1209" spans="3:3" x14ac:dyDescent="0.25">
      <c r="C1209" s="16">
        <v>71509</v>
      </c>
    </row>
    <row r="1210" spans="3:3" x14ac:dyDescent="0.25">
      <c r="C1210" s="16">
        <v>71530</v>
      </c>
    </row>
    <row r="1211" spans="3:3" x14ac:dyDescent="0.25">
      <c r="C1211" s="16">
        <v>71543</v>
      </c>
    </row>
    <row r="1212" spans="3:3" x14ac:dyDescent="0.25">
      <c r="C1212" s="16">
        <v>71548</v>
      </c>
    </row>
    <row r="1213" spans="3:3" x14ac:dyDescent="0.25">
      <c r="C1213" s="16">
        <v>71583</v>
      </c>
    </row>
    <row r="1214" spans="3:3" x14ac:dyDescent="0.25">
      <c r="C1214" s="16">
        <v>71590</v>
      </c>
    </row>
    <row r="1215" spans="3:3" x14ac:dyDescent="0.25">
      <c r="C1215" s="16">
        <v>71647</v>
      </c>
    </row>
    <row r="1216" spans="3:3" x14ac:dyDescent="0.25">
      <c r="C1216" s="16">
        <v>71648</v>
      </c>
    </row>
    <row r="1217" spans="3:3" x14ac:dyDescent="0.25">
      <c r="C1217" s="16">
        <v>71693</v>
      </c>
    </row>
    <row r="1218" spans="3:3" x14ac:dyDescent="0.25">
      <c r="C1218" s="16">
        <v>71701</v>
      </c>
    </row>
    <row r="1219" spans="3:3" x14ac:dyDescent="0.25">
      <c r="C1219" s="16">
        <v>71711</v>
      </c>
    </row>
    <row r="1220" spans="3:3" x14ac:dyDescent="0.25">
      <c r="C1220" s="16">
        <v>71755</v>
      </c>
    </row>
    <row r="1221" spans="3:3" x14ac:dyDescent="0.25">
      <c r="C1221" s="16">
        <v>71840</v>
      </c>
    </row>
    <row r="1222" spans="3:3" x14ac:dyDescent="0.25">
      <c r="C1222" s="16">
        <v>71875</v>
      </c>
    </row>
    <row r="1223" spans="3:3" x14ac:dyDescent="0.25">
      <c r="C1223" s="16">
        <v>71896</v>
      </c>
    </row>
    <row r="1224" spans="3:3" x14ac:dyDescent="0.25">
      <c r="C1224" s="16">
        <v>71909</v>
      </c>
    </row>
    <row r="1225" spans="3:3" x14ac:dyDescent="0.25">
      <c r="C1225" s="16">
        <v>71914</v>
      </c>
    </row>
    <row r="1226" spans="3:3" x14ac:dyDescent="0.25">
      <c r="C1226" s="16">
        <v>71949</v>
      </c>
    </row>
    <row r="1227" spans="3:3" x14ac:dyDescent="0.25">
      <c r="C1227" s="16">
        <v>71956</v>
      </c>
    </row>
    <row r="1228" spans="3:3" x14ac:dyDescent="0.25">
      <c r="C1228" s="16">
        <v>71997</v>
      </c>
    </row>
    <row r="1229" spans="3:3" x14ac:dyDescent="0.25">
      <c r="C1229" s="16">
        <v>71998</v>
      </c>
    </row>
    <row r="1230" spans="3:3" x14ac:dyDescent="0.25">
      <c r="C1230" s="16">
        <v>72043</v>
      </c>
    </row>
    <row r="1231" spans="3:3" x14ac:dyDescent="0.25">
      <c r="C1231" s="16">
        <v>72066</v>
      </c>
    </row>
    <row r="1232" spans="3:3" x14ac:dyDescent="0.25">
      <c r="C1232" s="16">
        <v>72076</v>
      </c>
    </row>
    <row r="1233" spans="3:3" x14ac:dyDescent="0.25">
      <c r="C1233" s="16">
        <v>72105</v>
      </c>
    </row>
    <row r="1234" spans="3:3" x14ac:dyDescent="0.25">
      <c r="C1234" s="16">
        <v>72205</v>
      </c>
    </row>
    <row r="1235" spans="3:3" x14ac:dyDescent="0.25">
      <c r="C1235" s="16">
        <v>72240</v>
      </c>
    </row>
    <row r="1236" spans="3:3" x14ac:dyDescent="0.25">
      <c r="C1236" s="16">
        <v>72261</v>
      </c>
    </row>
    <row r="1237" spans="3:3" x14ac:dyDescent="0.25">
      <c r="C1237" s="16">
        <v>72274</v>
      </c>
    </row>
    <row r="1238" spans="3:3" x14ac:dyDescent="0.25">
      <c r="C1238" s="16">
        <v>72279</v>
      </c>
    </row>
    <row r="1239" spans="3:3" x14ac:dyDescent="0.25">
      <c r="C1239" s="16">
        <v>72314</v>
      </c>
    </row>
    <row r="1240" spans="3:3" x14ac:dyDescent="0.25">
      <c r="C1240" s="16">
        <v>72321</v>
      </c>
    </row>
    <row r="1241" spans="3:3" x14ac:dyDescent="0.25">
      <c r="C1241" s="16">
        <v>72382</v>
      </c>
    </row>
    <row r="1242" spans="3:3" x14ac:dyDescent="0.25">
      <c r="C1242" s="16">
        <v>72383</v>
      </c>
    </row>
    <row r="1243" spans="3:3" x14ac:dyDescent="0.25">
      <c r="C1243" s="16">
        <v>72428</v>
      </c>
    </row>
    <row r="1244" spans="3:3" x14ac:dyDescent="0.25">
      <c r="C1244" s="16">
        <v>72431</v>
      </c>
    </row>
    <row r="1245" spans="3:3" x14ac:dyDescent="0.25">
      <c r="C1245" s="16">
        <v>72441</v>
      </c>
    </row>
    <row r="1246" spans="3:3" x14ac:dyDescent="0.25">
      <c r="C1246" s="16">
        <v>72490</v>
      </c>
    </row>
    <row r="1247" spans="3:3" x14ac:dyDescent="0.25">
      <c r="C1247" s="16">
        <v>72570</v>
      </c>
    </row>
    <row r="1248" spans="3:3" x14ac:dyDescent="0.25">
      <c r="C1248" s="16">
        <v>72605</v>
      </c>
    </row>
    <row r="1249" spans="3:3" x14ac:dyDescent="0.25">
      <c r="C1249" s="16">
        <v>72626</v>
      </c>
    </row>
    <row r="1250" spans="3:3" x14ac:dyDescent="0.25">
      <c r="C1250" s="16">
        <v>72639</v>
      </c>
    </row>
    <row r="1251" spans="3:3" x14ac:dyDescent="0.25">
      <c r="C1251" s="16">
        <v>72644</v>
      </c>
    </row>
    <row r="1252" spans="3:3" x14ac:dyDescent="0.25">
      <c r="C1252" s="16">
        <v>72679</v>
      </c>
    </row>
    <row r="1253" spans="3:3" x14ac:dyDescent="0.25">
      <c r="C1253" s="16">
        <v>72686</v>
      </c>
    </row>
    <row r="1254" spans="3:3" x14ac:dyDescent="0.25">
      <c r="C1254" s="16">
        <v>72739</v>
      </c>
    </row>
    <row r="1255" spans="3:3" x14ac:dyDescent="0.25">
      <c r="C1255" s="16">
        <v>72740</v>
      </c>
    </row>
    <row r="1256" spans="3:3" x14ac:dyDescent="0.25">
      <c r="C1256" s="16">
        <v>72785</v>
      </c>
    </row>
    <row r="1257" spans="3:3" x14ac:dyDescent="0.25">
      <c r="C1257" s="16">
        <v>72796</v>
      </c>
    </row>
    <row r="1258" spans="3:3" x14ac:dyDescent="0.25">
      <c r="C1258" s="16">
        <v>72806</v>
      </c>
    </row>
    <row r="1259" spans="3:3" x14ac:dyDescent="0.25">
      <c r="C1259" s="16">
        <v>72847</v>
      </c>
    </row>
    <row r="1260" spans="3:3" x14ac:dyDescent="0.25">
      <c r="C1260" s="16">
        <v>72935</v>
      </c>
    </row>
    <row r="1261" spans="3:3" x14ac:dyDescent="0.25">
      <c r="C1261" s="16">
        <v>72970</v>
      </c>
    </row>
    <row r="1262" spans="3:3" x14ac:dyDescent="0.25">
      <c r="C1262" s="16">
        <v>72991</v>
      </c>
    </row>
    <row r="1263" spans="3:3" x14ac:dyDescent="0.25">
      <c r="C1263" s="16">
        <v>73004</v>
      </c>
    </row>
    <row r="1264" spans="3:3" x14ac:dyDescent="0.25">
      <c r="C1264" s="16">
        <v>73009</v>
      </c>
    </row>
    <row r="1265" spans="3:3" x14ac:dyDescent="0.25">
      <c r="C1265" s="16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1:AP43"/>
  <sheetViews>
    <sheetView topLeftCell="E1" zoomScale="85" zoomScaleNormal="85" workbookViewId="0">
      <selection activeCell="L30" sqref="L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2" customWidth="1"/>
    <col min="24" max="24" width="10.5703125" customWidth="1"/>
    <col min="25" max="25" width="10.42578125" customWidth="1"/>
    <col min="26" max="26" width="9.140625" bestFit="1" customWidth="1"/>
    <col min="27" max="27" width="11" bestFit="1" customWidth="1"/>
    <col min="28" max="28" width="8.85546875" bestFit="1" customWidth="1"/>
    <col min="29" max="29" width="12.5703125" customWidth="1"/>
    <col min="30" max="30" width="9.85546875" bestFit="1" customWidth="1"/>
    <col min="31" max="31" width="3" bestFit="1" customWidth="1"/>
    <col min="32" max="33" width="12" bestFit="1" customWidth="1"/>
    <col min="34" max="34" width="9.5703125" bestFit="1" customWidth="1"/>
    <col min="35" max="35" width="4" bestFit="1" customWidth="1"/>
    <col min="36" max="36" width="12" bestFit="1" customWidth="1"/>
    <col min="37" max="37" width="7.5703125" bestFit="1" customWidth="1"/>
    <col min="38" max="38" width="6.5703125" bestFit="1" customWidth="1"/>
    <col min="39" max="39" width="3" bestFit="1" customWidth="1"/>
    <col min="40" max="41" width="12" bestFit="1" customWidth="1"/>
    <col min="42" max="42" width="10.140625" bestFit="1" customWidth="1"/>
  </cols>
  <sheetData>
    <row r="1" spans="2:42" x14ac:dyDescent="0.25">
      <c r="B1" t="s">
        <v>40</v>
      </c>
      <c r="C1">
        <v>1</v>
      </c>
      <c r="F1" s="13" t="s">
        <v>3</v>
      </c>
      <c r="G1" s="13" t="s">
        <v>36</v>
      </c>
      <c r="H1" s="13" t="s">
        <v>37</v>
      </c>
      <c r="I1" s="13" t="s">
        <v>38</v>
      </c>
      <c r="J1" s="13" t="s">
        <v>31</v>
      </c>
      <c r="K1" s="13" t="s">
        <v>32</v>
      </c>
      <c r="L1" s="13" t="s">
        <v>11</v>
      </c>
      <c r="M1" s="13" t="s">
        <v>39</v>
      </c>
      <c r="T1" s="12"/>
      <c r="U1" s="12"/>
      <c r="V1" s="12"/>
      <c r="W1" s="12"/>
      <c r="X1" s="12"/>
    </row>
    <row r="2" spans="2:42" x14ac:dyDescent="0.25">
      <c r="B2" t="s">
        <v>41</v>
      </c>
      <c r="C2">
        <f>C1+1</f>
        <v>2</v>
      </c>
      <c r="E2">
        <v>1</v>
      </c>
      <c r="F2" s="2">
        <v>45982</v>
      </c>
      <c r="G2" s="2">
        <f>EOMONTH(F2,E2-1)+1</f>
        <v>45992</v>
      </c>
      <c r="H2" t="str">
        <f>"DI1"&amp;_xlfn.XLOOKUP(MONTH(G2),$C$1:$C$12,$B$1:$B$12,"",0)&amp;YEAR(G2)</f>
        <v>DI1Z2025</v>
      </c>
      <c r="I2" s="3">
        <v>14.9</v>
      </c>
      <c r="J2" s="2">
        <v>45989</v>
      </c>
      <c r="K2" s="6" cm="1">
        <f t="array" ref="K2">BRISTO.BDAYS(F2,J2,holiday_br[])</f>
        <v>5</v>
      </c>
      <c r="L2">
        <f>K2/252</f>
        <v>1.984126984126984E-2</v>
      </c>
      <c r="M2">
        <f>(1+I2/100)^L2</f>
        <v>1.0027595943180705</v>
      </c>
      <c r="T2" s="12"/>
      <c r="U2" s="12"/>
      <c r="V2" s="12"/>
      <c r="W2" s="12"/>
      <c r="X2" s="12"/>
    </row>
    <row r="3" spans="2:42" x14ac:dyDescent="0.25">
      <c r="B3" t="s">
        <v>42</v>
      </c>
      <c r="C3">
        <f t="shared" ref="C3:C12" si="0">C2+1</f>
        <v>3</v>
      </c>
      <c r="E3">
        <f>E2+1</f>
        <v>2</v>
      </c>
      <c r="F3" s="2">
        <v>45982</v>
      </c>
      <c r="G3" s="2">
        <f t="shared" ref="G3:G11" si="1">EOMONTH(F3,E3-1)+1</f>
        <v>46023</v>
      </c>
      <c r="H3" t="str">
        <f t="shared" ref="H3:H11" si="2">"DI1"&amp;_xlfn.XLOOKUP(MONTH(G3),$C$1:$C$12,$B$1:$B$12,"",0)&amp;YEAR(G3)</f>
        <v>DI1F2026</v>
      </c>
      <c r="I3">
        <v>14.895</v>
      </c>
      <c r="J3" s="2">
        <v>46022</v>
      </c>
      <c r="K3" s="6" cm="1">
        <f t="array" ref="K3">BRISTO.BDAYS(F3,J3,holiday_br[])</f>
        <v>27</v>
      </c>
      <c r="L3">
        <f t="shared" ref="L3:L11" si="3">K3/252</f>
        <v>0.10714285714285714</v>
      </c>
      <c r="M3">
        <f t="shared" ref="M3:M11" si="4">(1+I3/100)^L3</f>
        <v>1.0149878307895897</v>
      </c>
      <c r="T3" s="12"/>
      <c r="U3" s="12"/>
      <c r="V3" s="12"/>
      <c r="W3" s="12"/>
      <c r="X3" s="12"/>
    </row>
    <row r="4" spans="2:42" x14ac:dyDescent="0.25">
      <c r="B4" t="s">
        <v>43</v>
      </c>
      <c r="C4">
        <f t="shared" si="0"/>
        <v>4</v>
      </c>
      <c r="E4">
        <f t="shared" ref="E4:E11" si="5">E3+1</f>
        <v>3</v>
      </c>
      <c r="F4" s="2">
        <v>45982</v>
      </c>
      <c r="G4" s="2">
        <f t="shared" si="1"/>
        <v>46054</v>
      </c>
      <c r="H4" t="str">
        <f t="shared" si="2"/>
        <v>DI1G2026</v>
      </c>
      <c r="I4">
        <v>14.894</v>
      </c>
      <c r="J4" s="2">
        <v>46052</v>
      </c>
      <c r="K4" s="6" cm="1">
        <f t="array" ref="K4">BRISTO.BDAYS(F4,J4,holiday_br[])</f>
        <v>48</v>
      </c>
      <c r="L4">
        <f t="shared" si="3"/>
        <v>0.19047619047619047</v>
      </c>
      <c r="M4">
        <f t="shared" si="4"/>
        <v>1.0267984618751003</v>
      </c>
      <c r="T4" s="12"/>
      <c r="U4" s="12"/>
      <c r="V4" s="12"/>
      <c r="W4" s="12"/>
      <c r="X4" s="12"/>
    </row>
    <row r="5" spans="2:42" x14ac:dyDescent="0.25">
      <c r="B5" t="s">
        <v>44</v>
      </c>
      <c r="C5">
        <f t="shared" si="0"/>
        <v>5</v>
      </c>
      <c r="E5">
        <f t="shared" si="5"/>
        <v>4</v>
      </c>
      <c r="F5" s="2">
        <v>45982</v>
      </c>
      <c r="G5" s="2">
        <f t="shared" si="1"/>
        <v>46082</v>
      </c>
      <c r="H5" t="str">
        <f t="shared" si="2"/>
        <v>DI1H2026</v>
      </c>
      <c r="I5">
        <v>14.845000000000001</v>
      </c>
      <c r="J5" s="2">
        <v>46080</v>
      </c>
      <c r="K5" s="6" cm="1">
        <f t="array" ref="K5">BRISTO.BDAYS(F5,J5,holiday_br[])</f>
        <v>66</v>
      </c>
      <c r="L5">
        <f t="shared" si="3"/>
        <v>0.26190476190476192</v>
      </c>
      <c r="M5">
        <f t="shared" si="4"/>
        <v>1.0369161607121695</v>
      </c>
      <c r="S5" s="5"/>
    </row>
    <row r="6" spans="2:42" x14ac:dyDescent="0.25">
      <c r="B6" t="s">
        <v>45</v>
      </c>
      <c r="C6">
        <f t="shared" si="0"/>
        <v>6</v>
      </c>
      <c r="E6">
        <f t="shared" si="5"/>
        <v>5</v>
      </c>
      <c r="F6" s="2">
        <v>45982</v>
      </c>
      <c r="G6" s="2">
        <f t="shared" si="1"/>
        <v>46113</v>
      </c>
      <c r="H6" t="str">
        <f t="shared" si="2"/>
        <v>DI1J2026</v>
      </c>
      <c r="I6">
        <v>14.775</v>
      </c>
      <c r="J6" s="2">
        <v>46112</v>
      </c>
      <c r="K6" s="6" cm="1">
        <f t="array" ref="K6">BRISTO.BDAYS(F6,J6,holiday_br[])</f>
        <v>88</v>
      </c>
      <c r="L6">
        <f t="shared" si="3"/>
        <v>0.34920634920634919</v>
      </c>
      <c r="M6">
        <f t="shared" si="4"/>
        <v>1.0492985135724895</v>
      </c>
    </row>
    <row r="7" spans="2:42" x14ac:dyDescent="0.25">
      <c r="B7" t="s">
        <v>46</v>
      </c>
      <c r="C7">
        <f t="shared" si="0"/>
        <v>7</v>
      </c>
      <c r="E7">
        <f t="shared" si="5"/>
        <v>6</v>
      </c>
      <c r="F7" s="2">
        <v>45982</v>
      </c>
      <c r="G7" s="2">
        <f t="shared" si="1"/>
        <v>46143</v>
      </c>
      <c r="H7" t="str">
        <f t="shared" si="2"/>
        <v>DI1K2026</v>
      </c>
      <c r="I7">
        <v>14.68</v>
      </c>
      <c r="J7" s="2">
        <v>46142</v>
      </c>
      <c r="K7" s="6" cm="1">
        <f t="array" ref="K7">BRISTO.BDAYS(F7,J7,holiday_br[])</f>
        <v>108</v>
      </c>
      <c r="L7">
        <f t="shared" si="3"/>
        <v>0.42857142857142855</v>
      </c>
      <c r="M7">
        <f t="shared" si="4"/>
        <v>1.060461050053632</v>
      </c>
      <c r="S7" s="12"/>
    </row>
    <row r="8" spans="2:42" x14ac:dyDescent="0.25">
      <c r="B8" t="s">
        <v>47</v>
      </c>
      <c r="C8">
        <f t="shared" si="0"/>
        <v>8</v>
      </c>
      <c r="E8">
        <f t="shared" si="5"/>
        <v>7</v>
      </c>
      <c r="F8" s="2">
        <v>45982</v>
      </c>
      <c r="G8" s="2">
        <f t="shared" si="1"/>
        <v>46174</v>
      </c>
      <c r="H8" t="str">
        <f t="shared" si="2"/>
        <v>DI1M2026</v>
      </c>
      <c r="I8">
        <v>14.54</v>
      </c>
      <c r="J8" s="2">
        <v>46171</v>
      </c>
      <c r="K8" s="6" cm="1">
        <f t="array" ref="K8">BRISTO.BDAYS(F8,J8,holiday_br[])</f>
        <v>128</v>
      </c>
      <c r="L8">
        <f t="shared" si="3"/>
        <v>0.50793650793650791</v>
      </c>
      <c r="M8">
        <f t="shared" si="4"/>
        <v>1.0713873233723397</v>
      </c>
      <c r="S8" s="12"/>
    </row>
    <row r="9" spans="2:42" x14ac:dyDescent="0.25">
      <c r="B9" t="s">
        <v>48</v>
      </c>
      <c r="C9">
        <f t="shared" si="0"/>
        <v>9</v>
      </c>
      <c r="E9">
        <f t="shared" si="5"/>
        <v>8</v>
      </c>
      <c r="F9" s="2">
        <v>45982</v>
      </c>
      <c r="G9" s="2">
        <f t="shared" si="1"/>
        <v>46204</v>
      </c>
      <c r="H9" t="str">
        <f t="shared" si="2"/>
        <v>DI1N2026</v>
      </c>
      <c r="I9">
        <v>14.414999999999999</v>
      </c>
      <c r="J9" s="2">
        <v>46203</v>
      </c>
      <c r="K9" s="6" cm="1">
        <f t="array" ref="K9">BRISTO.BDAYS(F9,J9,holiday_br[])</f>
        <v>149</v>
      </c>
      <c r="L9">
        <f t="shared" si="3"/>
        <v>0.59126984126984128</v>
      </c>
      <c r="M9">
        <f t="shared" si="4"/>
        <v>1.0828772091264154</v>
      </c>
      <c r="S9" s="12"/>
    </row>
    <row r="10" spans="2:42" x14ac:dyDescent="0.25">
      <c r="B10" t="s">
        <v>49</v>
      </c>
      <c r="C10">
        <f t="shared" si="0"/>
        <v>10</v>
      </c>
      <c r="E10">
        <f t="shared" si="5"/>
        <v>9</v>
      </c>
      <c r="F10" s="2">
        <v>45982</v>
      </c>
      <c r="G10" s="2">
        <f t="shared" si="1"/>
        <v>46235</v>
      </c>
      <c r="H10" t="str">
        <f t="shared" si="2"/>
        <v>DI1Q2026</v>
      </c>
      <c r="I10">
        <v>14.28</v>
      </c>
      <c r="J10" s="2">
        <v>46234</v>
      </c>
      <c r="K10" s="6" cm="1">
        <f t="array" ref="K10">BRISTO.BDAYS(F10,J10,holiday_br[])</f>
        <v>172</v>
      </c>
      <c r="L10">
        <f t="shared" si="3"/>
        <v>0.68253968253968256</v>
      </c>
      <c r="M10">
        <f t="shared" si="4"/>
        <v>1.0953854894705597</v>
      </c>
      <c r="S10" s="12"/>
    </row>
    <row r="11" spans="2:42" x14ac:dyDescent="0.25">
      <c r="B11" t="s">
        <v>50</v>
      </c>
      <c r="C11">
        <f t="shared" si="0"/>
        <v>11</v>
      </c>
      <c r="E11">
        <f t="shared" si="5"/>
        <v>10</v>
      </c>
      <c r="F11" s="2">
        <v>45982</v>
      </c>
      <c r="G11" s="2">
        <f t="shared" si="1"/>
        <v>46266</v>
      </c>
      <c r="H11" t="str">
        <f t="shared" si="2"/>
        <v>DI1U2026</v>
      </c>
      <c r="I11">
        <v>14.14</v>
      </c>
      <c r="J11" s="2">
        <v>46265</v>
      </c>
      <c r="K11" s="6" cm="1">
        <f t="array" ref="K11">BRISTO.BDAYS(F11,J11,holiday_br[])</f>
        <v>193</v>
      </c>
      <c r="L11">
        <f t="shared" si="3"/>
        <v>0.76587301587301593</v>
      </c>
      <c r="M11">
        <f t="shared" si="4"/>
        <v>1.1065985921458159</v>
      </c>
    </row>
    <row r="12" spans="2:42" x14ac:dyDescent="0.25">
      <c r="B12" t="s">
        <v>51</v>
      </c>
      <c r="C12">
        <f t="shared" si="0"/>
        <v>12</v>
      </c>
      <c r="O12" s="15"/>
      <c r="P12" s="15"/>
      <c r="Q12" s="15"/>
      <c r="R12" s="15"/>
      <c r="S12" s="15"/>
    </row>
    <row r="13" spans="2:42" x14ac:dyDescent="0.25">
      <c r="O13" s="15"/>
      <c r="P13" s="15"/>
      <c r="Q13" s="15"/>
      <c r="R13" s="15"/>
      <c r="S13" s="15"/>
    </row>
    <row r="14" spans="2:42" x14ac:dyDescent="0.25">
      <c r="O14" s="15"/>
      <c r="P14" s="15"/>
      <c r="Q14" s="15"/>
      <c r="R14" s="15"/>
      <c r="S14" s="15"/>
    </row>
    <row r="15" spans="2:42" x14ac:dyDescent="0.25">
      <c r="AD15" s="69" t="s">
        <v>29</v>
      </c>
      <c r="AE15" s="69"/>
      <c r="AF15" s="69"/>
      <c r="AG15" s="69"/>
      <c r="AH15" s="69" t="s">
        <v>30</v>
      </c>
      <c r="AI15" s="69"/>
      <c r="AJ15" s="69"/>
      <c r="AK15" s="69"/>
    </row>
    <row r="16" spans="2:42" x14ac:dyDescent="0.25"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  <c r="G16" s="1" t="s">
        <v>8</v>
      </c>
      <c r="H16" s="1" t="s">
        <v>9</v>
      </c>
      <c r="I16" s="1" t="s">
        <v>10</v>
      </c>
      <c r="J16" s="1" t="s">
        <v>11</v>
      </c>
      <c r="K16" s="1" t="s">
        <v>12</v>
      </c>
      <c r="L16" s="1" t="s">
        <v>13</v>
      </c>
      <c r="M16" s="13" t="s">
        <v>14</v>
      </c>
      <c r="N16" s="13" t="s">
        <v>77</v>
      </c>
      <c r="P16" s="1" t="s">
        <v>15</v>
      </c>
      <c r="Q16" s="1" t="s">
        <v>16</v>
      </c>
      <c r="R16" s="1" t="s">
        <v>17</v>
      </c>
      <c r="S16" s="1" t="s">
        <v>18</v>
      </c>
      <c r="T16" s="1" t="s">
        <v>19</v>
      </c>
      <c r="U16" s="1" t="s">
        <v>20</v>
      </c>
      <c r="V16" s="1" t="s">
        <v>21</v>
      </c>
      <c r="W16" s="1" t="s">
        <v>22</v>
      </c>
      <c r="X16" s="1" t="s">
        <v>157</v>
      </c>
      <c r="Y16" s="1" t="s">
        <v>23</v>
      </c>
      <c r="Z16" s="1" t="s">
        <v>24</v>
      </c>
      <c r="AA16" s="1" t="s">
        <v>25</v>
      </c>
      <c r="AB16" s="1" t="s">
        <v>26</v>
      </c>
      <c r="AD16" s="1" t="s">
        <v>31</v>
      </c>
      <c r="AE16" s="1" t="s">
        <v>32</v>
      </c>
      <c r="AF16" s="1" t="s">
        <v>11</v>
      </c>
      <c r="AG16" s="1" t="s">
        <v>33</v>
      </c>
      <c r="AH16" s="1" t="s">
        <v>31</v>
      </c>
      <c r="AI16" s="1" t="s">
        <v>32</v>
      </c>
      <c r="AJ16" s="1" t="s">
        <v>11</v>
      </c>
      <c r="AK16" s="1" t="s">
        <v>33</v>
      </c>
      <c r="AL16" s="1" t="s">
        <v>34</v>
      </c>
      <c r="AP16" s="13" t="s">
        <v>35</v>
      </c>
    </row>
    <row r="17" spans="2:42" x14ac:dyDescent="0.25">
      <c r="B17" s="2">
        <v>45982</v>
      </c>
      <c r="C17">
        <v>32.549999999999997</v>
      </c>
      <c r="D17" t="s">
        <v>27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5">
        <f>L17/I17*LN(1+K17)</f>
        <v>0.14006001240514299</v>
      </c>
      <c r="N17" s="5">
        <f>LN(1+G17)</f>
        <v>4.8790164169432049E-2</v>
      </c>
      <c r="O17" s="5">
        <f>M17-N17</f>
        <v>9.1269848235710938E-2</v>
      </c>
      <c r="P17">
        <f>(LN(C17/F17) + ((M17-N17) + (H17^2)/2)*J17) / (H17*SQRT(J17))</f>
        <v>0.32161390232759507</v>
      </c>
      <c r="Q17" s="7">
        <f t="shared" ref="Q17:Q20" si="6">P17-H17*SQRT(J17)</f>
        <v>0.17138635824862133</v>
      </c>
      <c r="R17">
        <f>IF(D17="C",1,-1)</f>
        <v>-1</v>
      </c>
      <c r="S17" s="9">
        <f>(C17*EXP(-N17*J17)*_xlfn.NORM.S.DIST(P17*R17,TRUE)*R17-F17*EXP(-M17*J17)*_xlfn.NORM.S.DIST(Q17*R17,TRUE)*R17)</f>
        <v>1.3536688595565973</v>
      </c>
      <c r="T17" s="10">
        <f>(_xlfn.NORM.S.DIST(P17, TRUE)-IF(D17="P",1,0))*EXP(-N17*J17)</f>
        <v>-0.3668456395588382</v>
      </c>
      <c r="U17" s="5">
        <f>(_xlfn.NORM.S.DIST(P17,FALSE)/(C17*H17*SQRT(J17)))*EXP(-N17*J17)</f>
        <v>7.6016608331291896E-2</v>
      </c>
      <c r="V17" s="11">
        <f>_xlfn.NORM.S.DIST(P17,FALSE)*C17*SQRT(J17)*EXP(-N17*J17)</f>
        <v>7.5452356716946092</v>
      </c>
      <c r="W17" s="11">
        <f>((-C17*EXP(-N17*J17)*_xlfn.NORM.S.DIST(P17,FALSE)*H17)/(2*SQRT(J17))-R17*M17*F17*EXP(-M17*J17)*_xlfn.NORM.S.DIST(R17*Q17,TRUE)+R17*N17*C17*EXP(-N17*J17)*_xlfn.NORM.S.DIST(R17*P17,TRUE))/252</f>
        <v>-4.1965986153027794E-3</v>
      </c>
      <c r="X17" s="12">
        <f>R17*F17*J17*EXP(-M17*J17)*_xlfn.NORM.S.DIST(R17*Q17,TRUE)/100</f>
        <v>-5.170081166132081E-2</v>
      </c>
      <c r="Y17" s="12">
        <v>5.4032</v>
      </c>
      <c r="Z17" s="6">
        <v>1000000</v>
      </c>
      <c r="AA17" s="3">
        <f>Z17*U17*C17*1%*C17/Y17</f>
        <v>149059.4213956999</v>
      </c>
      <c r="AB17" s="6">
        <f>Z17*T17</f>
        <v>-366845.63955883821</v>
      </c>
      <c r="AD17" s="2" cm="1">
        <f t="array" ref="AD17:AG17">_xlfn.XLOOKUP(E17,$J$2:$J$11,$J$2:$M$11,"",-1)</f>
        <v>46112</v>
      </c>
      <c r="AE17">
        <v>88</v>
      </c>
      <c r="AF17">
        <v>0.34920634920634919</v>
      </c>
      <c r="AG17">
        <v>1.0492985135724895</v>
      </c>
      <c r="AH17" s="2" cm="1">
        <f t="array" ref="AH17:AK17">_xlfn.XLOOKUP(E17,$J$2:$J$11,$J$2:$M$11,"",1)</f>
        <v>46142</v>
      </c>
      <c r="AI17">
        <v>108</v>
      </c>
      <c r="AJ17">
        <v>0.42857142857142855</v>
      </c>
      <c r="AK17" s="11">
        <v>1.060461050053632</v>
      </c>
      <c r="AL17" s="12">
        <f>AK17/AG17</f>
        <v>1.0106380942474968</v>
      </c>
      <c r="AM17" s="6">
        <v>11</v>
      </c>
      <c r="AN17">
        <f>AL17^(AM17/(AI17-AE17))</f>
        <v>1.0058370187089534</v>
      </c>
      <c r="AO17">
        <f>AN17*AG17</f>
        <v>1.055423288627489</v>
      </c>
      <c r="AP17" s="14">
        <f>AO17^(252/(AE17+AM17))-1</f>
        <v>0.14717990560500693</v>
      </c>
    </row>
    <row r="18" spans="2:42" x14ac:dyDescent="0.25">
      <c r="B18" s="2">
        <v>45982</v>
      </c>
      <c r="C18">
        <v>32.549999999999997</v>
      </c>
      <c r="D18" t="s">
        <v>28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5">
        <f t="shared" ref="M18:M20" si="7">L18/I18*LN(1+K18)</f>
        <v>0.14006001240514299</v>
      </c>
      <c r="N18" s="5">
        <f t="shared" ref="N18:N20" si="8">LN(1+G18)</f>
        <v>0</v>
      </c>
      <c r="O18" s="5">
        <f t="shared" ref="O18:O20" si="9">M18-N18</f>
        <v>0.14006001240514299</v>
      </c>
      <c r="P18">
        <f t="shared" ref="P18:P20" si="10">(LN(C18/F18) + ((M18-N18) + (H18^2)/2)*J18) / (H18*SQRT(J18))</f>
        <v>0.44791532627008068</v>
      </c>
      <c r="Q18" s="7">
        <f t="shared" si="6"/>
        <v>0.29768778219110692</v>
      </c>
      <c r="R18">
        <f>IF(D18="C",1,-1)</f>
        <v>1</v>
      </c>
      <c r="S18" s="9">
        <f t="shared" ref="S18:S20" si="11">(C18*EXP(-N18*J18)*_xlfn.NORM.S.DIST(P18*R18,TRUE)*R18-F18*EXP(-M18*J18)*_xlfn.NORM.S.DIST(Q18*R18,TRUE)*R18)</f>
        <v>2.9122641694236968</v>
      </c>
      <c r="T18" s="10">
        <f t="shared" ref="T18:T20" si="12">(_xlfn.NORM.S.DIST(P18, TRUE)-IF(D18="P",1,0))*EXP(-N18*J18)</f>
        <v>0.67289284652870363</v>
      </c>
      <c r="U18" s="5">
        <f t="shared" ref="U18:U20" si="13">(_xlfn.NORM.S.DIST(P18,FALSE)/(C18*H18*SQRT(J18)))*EXP(-N18*J18)</f>
        <v>7.3797841347946175E-2</v>
      </c>
      <c r="V18" s="11">
        <f t="shared" ref="V18:V20" si="14">_xlfn.NORM.S.DIST(P18,FALSE)*C18*SQRT(J18)*EXP(-N18*J18)</f>
        <v>7.3250059066811799</v>
      </c>
      <c r="W18" s="11">
        <f t="shared" ref="W18:W20" si="15">((-C18*EXP(-N18*J18)*_xlfn.NORM.S.DIST(P18,FALSE)*H18)/(2*SQRT(J18))-R18*M18*F18*EXP(-M18*J18)*_xlfn.NORM.S.DIST(R18*Q18,TRUE)+R18*N18*C18*EXP(-N18*J18)*_xlfn.NORM.S.DIST(R18*P18,TRUE))/252</f>
        <v>-1.9557773779967865E-2</v>
      </c>
      <c r="X18" s="12">
        <f t="shared" ref="X18:X20" si="16">R18*F18*J18*EXP(-M18*J18)*_xlfn.NORM.S.DIST(R18*Q18,TRUE)/100</f>
        <v>7.3851547719777338E-2</v>
      </c>
      <c r="Y18" s="12">
        <v>5.4032</v>
      </c>
      <c r="Z18" s="6">
        <v>1000000</v>
      </c>
      <c r="AA18" s="3">
        <f>Z18*U18*C18*1%*C18/Y18</f>
        <v>144708.68633911817</v>
      </c>
      <c r="AB18" s="6">
        <f>Z18*T18</f>
        <v>672892.84652870358</v>
      </c>
      <c r="AD18" s="2" cm="1">
        <f t="array" ref="AD18:AG18">_xlfn.XLOOKUP(E18,$J$2:$J$11,$J$2:$M$11,"",-1)</f>
        <v>46112</v>
      </c>
      <c r="AE18">
        <v>88</v>
      </c>
      <c r="AF18">
        <v>0.34920634920634919</v>
      </c>
      <c r="AG18">
        <v>1.0492985135724895</v>
      </c>
      <c r="AH18" s="2" cm="1">
        <f t="array" ref="AH18:AK18">_xlfn.XLOOKUP(E18,$J$2:$J$11,$J$2:$M$11,"",1)</f>
        <v>46142</v>
      </c>
      <c r="AI18">
        <v>108</v>
      </c>
      <c r="AJ18">
        <v>0.42857142857142855</v>
      </c>
      <c r="AK18" s="11">
        <v>1.060461050053632</v>
      </c>
      <c r="AL18" s="12">
        <f>AK18/AG18</f>
        <v>1.0106380942474968</v>
      </c>
      <c r="AM18" s="6">
        <v>11</v>
      </c>
      <c r="AN18">
        <f>AL18^(AM18/(AI18-AE18))</f>
        <v>1.0058370187089534</v>
      </c>
      <c r="AO18">
        <f>AN18*AG18</f>
        <v>1.055423288627489</v>
      </c>
      <c r="AP18" s="14">
        <f>AO18^(252/(AE18+AM18))-1</f>
        <v>0.14717990560500693</v>
      </c>
    </row>
    <row r="19" spans="2:42" x14ac:dyDescent="0.25">
      <c r="B19" s="2">
        <v>45982</v>
      </c>
      <c r="C19">
        <v>32.549999999999997</v>
      </c>
      <c r="D19" t="s">
        <v>27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5">
        <f t="shared" si="7"/>
        <v>0.14006001240514299</v>
      </c>
      <c r="N19" s="5">
        <f t="shared" si="8"/>
        <v>0</v>
      </c>
      <c r="O19" s="5">
        <f t="shared" si="9"/>
        <v>0.14006001240514299</v>
      </c>
      <c r="P19">
        <f t="shared" si="10"/>
        <v>-0.94825206878691748</v>
      </c>
      <c r="Q19" s="7">
        <f t="shared" si="6"/>
        <v>-1.107833756332826</v>
      </c>
      <c r="R19">
        <f>IF(D19="C",1,-1)</f>
        <v>-1</v>
      </c>
      <c r="S19" s="9">
        <f t="shared" si="11"/>
        <v>6.2473624302637489</v>
      </c>
      <c r="T19" s="10">
        <f t="shared" si="12"/>
        <v>-0.82849942725574388</v>
      </c>
      <c r="U19" s="5">
        <f t="shared" si="13"/>
        <v>4.899154461682699E-2</v>
      </c>
      <c r="V19" s="11">
        <f t="shared" si="14"/>
        <v>5.1655781791054505</v>
      </c>
      <c r="W19" s="11">
        <f t="shared" si="15"/>
        <v>1.171645606549989E-2</v>
      </c>
      <c r="X19" s="12">
        <f t="shared" si="16"/>
        <v>-0.12916951750670413</v>
      </c>
      <c r="Y19" s="12">
        <v>5.4032</v>
      </c>
      <c r="Z19" s="6">
        <v>1000000</v>
      </c>
      <c r="AA19" s="3">
        <f>Z19*U19*C19*1%*C19/Y19</f>
        <v>96066.523542326278</v>
      </c>
      <c r="AB19" s="6">
        <f>Z19*T19</f>
        <v>-828499.42725574388</v>
      </c>
      <c r="AD19" s="2" cm="1">
        <f t="array" ref="AD19:AG19">_xlfn.XLOOKUP(E19,$J$2:$J$11,$J$2:$M$11,"",-1)</f>
        <v>46112</v>
      </c>
      <c r="AE19">
        <v>88</v>
      </c>
      <c r="AF19">
        <v>0.34920634920634919</v>
      </c>
      <c r="AG19">
        <v>1.0492985135724895</v>
      </c>
      <c r="AH19" s="2" cm="1">
        <f t="array" ref="AH19:AK19">_xlfn.XLOOKUP(E19,$J$2:$J$11,$J$2:$M$11,"",1)</f>
        <v>46142</v>
      </c>
      <c r="AI19">
        <v>108</v>
      </c>
      <c r="AJ19">
        <v>0.42857142857142855</v>
      </c>
      <c r="AK19" s="11">
        <v>1.060461050053632</v>
      </c>
      <c r="AL19" s="12">
        <f>AK19/AG19</f>
        <v>1.0106380942474968</v>
      </c>
      <c r="AM19" s="6">
        <v>11</v>
      </c>
      <c r="AN19">
        <f>AL19^(AM19/(AI19-AE19))</f>
        <v>1.0058370187089534</v>
      </c>
      <c r="AO19">
        <f>AN19*AG19</f>
        <v>1.055423288627489</v>
      </c>
      <c r="AP19" s="14">
        <f>AO19^(252/(AE19+AM19))-1</f>
        <v>0.14717990560500693</v>
      </c>
    </row>
    <row r="20" spans="2:42" x14ac:dyDescent="0.25">
      <c r="B20" s="2">
        <v>45982</v>
      </c>
      <c r="C20">
        <v>32.549999999999997</v>
      </c>
      <c r="D20" t="s">
        <v>28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5">
        <f t="shared" si="7"/>
        <v>0.14006001240514299</v>
      </c>
      <c r="N20" s="5">
        <f t="shared" si="8"/>
        <v>4.8790164169432049E-2</v>
      </c>
      <c r="O20" s="5">
        <f t="shared" si="9"/>
        <v>9.1269848235710938E-2</v>
      </c>
      <c r="P20">
        <f t="shared" si="10"/>
        <v>-1.0671501267304297</v>
      </c>
      <c r="Q20" s="7">
        <f t="shared" si="6"/>
        <v>-1.2267318142763384</v>
      </c>
      <c r="R20">
        <f>IF(D20="C",1,-1)</f>
        <v>1</v>
      </c>
      <c r="S20" s="9">
        <f t="shared" si="11"/>
        <v>0.3482659645926649</v>
      </c>
      <c r="T20" s="10">
        <f t="shared" si="12"/>
        <v>0.14026522989850693</v>
      </c>
      <c r="U20" s="5">
        <f t="shared" si="13"/>
        <v>4.2642869268756961E-2</v>
      </c>
      <c r="V20" s="11">
        <f t="shared" si="14"/>
        <v>4.4961855502200283</v>
      </c>
      <c r="W20" s="11">
        <f t="shared" si="15"/>
        <v>-7.3303007707029846E-3</v>
      </c>
      <c r="X20" s="12">
        <f t="shared" si="16"/>
        <v>1.6400872711236747E-2</v>
      </c>
      <c r="Y20" s="12">
        <v>5.4032</v>
      </c>
      <c r="Z20" s="6">
        <v>1000000</v>
      </c>
      <c r="AA20" s="3">
        <f>Z20*U20*C20*1%*C20/Y20</f>
        <v>83617.535159574283</v>
      </c>
      <c r="AB20" s="6">
        <f>Z20*T20</f>
        <v>140265.22989850692</v>
      </c>
      <c r="AD20" s="2" cm="1">
        <f t="array" ref="AD20:AG20">_xlfn.XLOOKUP(E20,$J$2:$J$11,$J$2:$M$11,"",-1)</f>
        <v>46112</v>
      </c>
      <c r="AE20">
        <v>88</v>
      </c>
      <c r="AF20">
        <v>0.34920634920634919</v>
      </c>
      <c r="AG20">
        <v>1.0492985135724895</v>
      </c>
      <c r="AH20" s="2" cm="1">
        <f t="array" ref="AH20:AK20">_xlfn.XLOOKUP(E20,$J$2:$J$11,$J$2:$M$11,"",1)</f>
        <v>46142</v>
      </c>
      <c r="AI20">
        <v>108</v>
      </c>
      <c r="AJ20">
        <v>0.42857142857142855</v>
      </c>
      <c r="AK20" s="11">
        <v>1.060461050053632</v>
      </c>
      <c r="AL20" s="12">
        <f>AK20/AG20</f>
        <v>1.0106380942474968</v>
      </c>
      <c r="AM20" s="6">
        <v>11</v>
      </c>
      <c r="AN20">
        <f>AL20^(AM20/(AI20-AE20))</f>
        <v>1.0058370187089534</v>
      </c>
      <c r="AO20">
        <f>AN20*AG20</f>
        <v>1.055423288627489</v>
      </c>
      <c r="AP20" s="14">
        <f>AO20^(252/(AE20+AM20))-1</f>
        <v>0.14717990560500693</v>
      </c>
    </row>
    <row r="21" spans="2:42" x14ac:dyDescent="0.25"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2:42" x14ac:dyDescent="0.25"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 t="s">
        <v>9</v>
      </c>
      <c r="I22" s="1" t="s">
        <v>10</v>
      </c>
      <c r="J22" s="1" t="s">
        <v>11</v>
      </c>
      <c r="K22" s="1" t="s">
        <v>12</v>
      </c>
      <c r="L22" s="1" t="s">
        <v>13</v>
      </c>
      <c r="M22" s="13" t="s">
        <v>14</v>
      </c>
      <c r="N22" s="13" t="s">
        <v>77</v>
      </c>
      <c r="P22" s="1" t="s">
        <v>15</v>
      </c>
      <c r="Q22" s="1" t="s">
        <v>16</v>
      </c>
      <c r="R22" s="1" t="s">
        <v>17</v>
      </c>
      <c r="S22" s="1" t="s">
        <v>18</v>
      </c>
      <c r="T22" s="1" t="s">
        <v>19</v>
      </c>
      <c r="U22" s="1" t="s">
        <v>20</v>
      </c>
      <c r="V22" s="1" t="s">
        <v>21</v>
      </c>
      <c r="W22" s="1" t="s">
        <v>22</v>
      </c>
      <c r="X22" s="1" t="s">
        <v>157</v>
      </c>
      <c r="Y22" s="1" t="s">
        <v>23</v>
      </c>
      <c r="Z22" s="1" t="s">
        <v>24</v>
      </c>
      <c r="AA22" s="1" t="s">
        <v>25</v>
      </c>
      <c r="AB22" s="1" t="s">
        <v>26</v>
      </c>
    </row>
    <row r="23" spans="2:42" x14ac:dyDescent="0.25">
      <c r="B23" s="2">
        <v>45982</v>
      </c>
      <c r="C23">
        <v>32.549999999999997</v>
      </c>
      <c r="D23" t="s">
        <v>27</v>
      </c>
      <c r="E23" s="2" cm="1">
        <f t="array" ref="E23">BRISTO.NEXT_BDAYS(E17,-1,holiday_b3[])</f>
        <v>46128</v>
      </c>
      <c r="F23" s="3">
        <v>32.5</v>
      </c>
      <c r="G23" s="4">
        <v>0.05</v>
      </c>
      <c r="H23" s="5">
        <v>0.2409</v>
      </c>
      <c r="I23" s="6" cm="1">
        <f t="array" ref="I23">BRISTO.BDAYS(B23,E23,holiday_b3[])</f>
        <v>97</v>
      </c>
      <c r="J23" s="7">
        <f>I23/252</f>
        <v>0.38492063492063494</v>
      </c>
      <c r="K23" s="8">
        <v>0.14712500000000001</v>
      </c>
      <c r="L23" s="6" cm="1">
        <f t="array" ref="L23">BRISTO.BDAYS(B23,E23,holiday_br[])</f>
        <v>99</v>
      </c>
      <c r="M23" s="5">
        <f>L23/I23*LN(1+K23)</f>
        <v>0.14008889075821618</v>
      </c>
      <c r="N23" s="5">
        <f>LN(1+G23)</f>
        <v>4.8790164169432049E-2</v>
      </c>
      <c r="O23" s="5">
        <f>M23-N23</f>
        <v>9.1298726588784129E-2</v>
      </c>
      <c r="P23">
        <f>(LN(C23/F23) + ((M23-N23) + (H23^2)/2)*J23) / (H23*SQRT(J23))</f>
        <v>0.32014813693847771</v>
      </c>
      <c r="Q23" s="7">
        <f t="shared" ref="Q23:Q26" si="17">P23-H23*SQRT(J23)</f>
        <v>0.17068902523421067</v>
      </c>
      <c r="R23">
        <f>IF(D23="C",1,-1)</f>
        <v>-1</v>
      </c>
      <c r="S23" s="9">
        <f>(C23*EXP(-N23*J23)*_xlfn.NORM.S.DIST(P23*R23,TRUE)*R23-F23*EXP(-M23*J23)*_xlfn.NORM.S.DIST(Q23*R23,TRUE)*R23)</f>
        <v>1.3492999420741505</v>
      </c>
      <c r="T23" s="10">
        <f>(_xlfn.NORM.S.DIST(P23, TRUE)-IF(D23="P",1,0))*EXP(-N23*J23)</f>
        <v>-0.36746175151705901</v>
      </c>
      <c r="U23" s="5">
        <f>(_xlfn.NORM.S.DIST(P23,FALSE)/(C23*H23*SQRT(J23)))*EXP(-N23*J23)</f>
        <v>7.6458189216003974E-2</v>
      </c>
      <c r="V23" s="11">
        <f>_xlfn.NORM.S.DIST(P23,FALSE)*C23*SQRT(J23)*EXP(-N23*J23)</f>
        <v>7.5116265372632363</v>
      </c>
      <c r="W23" s="11">
        <f>((-C23*EXP(-N23*J23)*_xlfn.NORM.S.DIST(P23,FALSE)*H23)/(2*SQRT(J23))-R23*M23*F23*EXP(-M23*J23)*_xlfn.NORM.S.DIST(R23*Q23,TRUE)+R23*N23*C23*EXP(-N23*J23)*_xlfn.NORM.S.DIST(R23*P23,TRUE))/252</f>
        <v>-4.2441092071469171E-3</v>
      </c>
      <c r="X23" s="12">
        <f>R23*F23*J23*EXP(-M23*J23)*_xlfn.NORM.S.DIST(R23*Q23,TRUE)/100</f>
        <v>-5.1233629187840427E-2</v>
      </c>
      <c r="Y23" s="12">
        <v>5.4032</v>
      </c>
      <c r="Z23" s="6">
        <v>1000000</v>
      </c>
      <c r="AA23" s="3">
        <f>Z23*U23*C23*1%*C23/Y23</f>
        <v>149925.30837250006</v>
      </c>
      <c r="AB23" s="6">
        <f>Z23*T23</f>
        <v>-367461.75151705899</v>
      </c>
    </row>
    <row r="24" spans="2:42" x14ac:dyDescent="0.25">
      <c r="B24" s="2">
        <v>45982</v>
      </c>
      <c r="C24">
        <v>32.549999999999997</v>
      </c>
      <c r="D24" t="s">
        <v>28</v>
      </c>
      <c r="E24" s="2" cm="1">
        <f t="array" ref="E24">BRISTO.NEXT_BDAYS(E18,-1,holiday_b3[])</f>
        <v>46128</v>
      </c>
      <c r="F24" s="3">
        <v>32.5</v>
      </c>
      <c r="G24" s="4">
        <v>0</v>
      </c>
      <c r="H24" s="5">
        <v>0.2409</v>
      </c>
      <c r="I24" s="6" cm="1">
        <f t="array" ref="I24">BRISTO.BDAYS(B24,E24,holiday_b3[])</f>
        <v>97</v>
      </c>
      <c r="J24" s="7">
        <f>I24/252</f>
        <v>0.38492063492063494</v>
      </c>
      <c r="K24" s="8">
        <v>0.14712500000000001</v>
      </c>
      <c r="L24" s="6" cm="1">
        <f t="array" ref="L24">BRISTO.BDAYS(B24,E24,holiday_br[])</f>
        <v>99</v>
      </c>
      <c r="M24" s="5">
        <f t="shared" ref="M24:M26" si="18">L24/I24*LN(1+K24)</f>
        <v>0.14008889075821618</v>
      </c>
      <c r="N24" s="5">
        <f t="shared" ref="N24:N26" si="19">LN(1+G24)</f>
        <v>0</v>
      </c>
      <c r="O24" s="5">
        <f t="shared" ref="O24:O26" si="20">M24-N24</f>
        <v>0.14008889075821618</v>
      </c>
      <c r="P24">
        <f t="shared" ref="P24:P26" si="21">(LN(C24/F24) + ((M24-N24) + (H24^2)/2)*J24) / (H24*SQRT(J24))</f>
        <v>0.44580351355506187</v>
      </c>
      <c r="Q24" s="7">
        <f t="shared" si="17"/>
        <v>0.2963444018507948</v>
      </c>
      <c r="R24">
        <f>IF(D24="C",1,-1)</f>
        <v>1</v>
      </c>
      <c r="S24" s="9">
        <f t="shared" ref="S24:S26" si="22">(C24*EXP(-N24*J24)*_xlfn.NORM.S.DIST(P24*R24,TRUE)*R24-F24*EXP(-M24*J24)*_xlfn.NORM.S.DIST(Q24*R24,TRUE)*R24)</f>
        <v>2.8928916206088466</v>
      </c>
      <c r="T24" s="10">
        <f t="shared" ref="T24:T26" si="23">(_xlfn.NORM.S.DIST(P24, TRUE)-IF(D24="P",1,0))*EXP(-N24*J24)</f>
        <v>0.67213040820993686</v>
      </c>
      <c r="U24" s="5">
        <f t="shared" ref="U24:U26" si="24">(_xlfn.NORM.S.DIST(P24,FALSE)/(C24*H24*SQRT(J24)))*EXP(-N24*J24)</f>
        <v>7.424730009310064E-2</v>
      </c>
      <c r="V24" s="11">
        <f t="shared" ref="V24:V26" si="25">_xlfn.NORM.S.DIST(P24,FALSE)*C24*SQRT(J24)*EXP(-N24*J24)</f>
        <v>7.2944179742978061</v>
      </c>
      <c r="W24" s="11">
        <f t="shared" ref="W24:W26" si="26">((-C24*EXP(-N24*J24)*_xlfn.NORM.S.DIST(P24,FALSE)*H24)/(2*SQRT(J24))-R24*M24*F24*EXP(-M24*J24)*_xlfn.NORM.S.DIST(R24*Q24,TRUE)+R24*N24*C24*EXP(-N24*J24)*_xlfn.NORM.S.DIST(R24*P24,TRUE))/252</f>
        <v>-1.9611755296650959E-2</v>
      </c>
      <c r="X24" s="12">
        <f t="shared" ref="X24:X26" si="27">R24*F24*J24*EXP(-M24*J24)*_xlfn.NORM.S.DIST(R24*Q24,TRUE)/100</f>
        <v>7.3077002268356589E-2</v>
      </c>
      <c r="Y24" s="12">
        <v>5.4032</v>
      </c>
      <c r="Z24" s="6">
        <v>1000000</v>
      </c>
      <c r="AA24" s="3">
        <f>Z24*U24*C24*1%*C24/Y24</f>
        <v>145590.02085225485</v>
      </c>
      <c r="AB24" s="6">
        <f>Z24*T24</f>
        <v>672130.40820993681</v>
      </c>
    </row>
    <row r="25" spans="2:42" x14ac:dyDescent="0.25">
      <c r="B25" s="2">
        <v>45982</v>
      </c>
      <c r="C25">
        <v>32.549999999999997</v>
      </c>
      <c r="D25" t="s">
        <v>27</v>
      </c>
      <c r="E25" s="2" cm="1">
        <f t="array" ref="E25">BRISTO.NEXT_BDAYS(E19,-1,holiday_b3[])</f>
        <v>46128</v>
      </c>
      <c r="F25" s="3">
        <v>40.5</v>
      </c>
      <c r="G25" s="4">
        <v>0</v>
      </c>
      <c r="H25" s="5">
        <v>0.25590000000000002</v>
      </c>
      <c r="I25" s="6" cm="1">
        <f t="array" ref="I25">BRISTO.BDAYS(B25,E25,holiday_b3[])</f>
        <v>97</v>
      </c>
      <c r="J25" s="7">
        <f>I25/252</f>
        <v>0.38492063492063494</v>
      </c>
      <c r="K25" s="8">
        <v>0.14712500000000001</v>
      </c>
      <c r="L25" s="6" cm="1">
        <f t="array" ref="L25">BRISTO.BDAYS(B25,E25,holiday_br[])</f>
        <v>99</v>
      </c>
      <c r="M25" s="5">
        <f t="shared" si="18"/>
        <v>0.14008889075821618</v>
      </c>
      <c r="N25" s="5">
        <f t="shared" si="19"/>
        <v>0</v>
      </c>
      <c r="O25" s="5">
        <f t="shared" si="20"/>
        <v>0.14008889075821618</v>
      </c>
      <c r="P25">
        <f t="shared" si="21"/>
        <v>-0.9573765197402565</v>
      </c>
      <c r="Q25" s="7">
        <f t="shared" si="17"/>
        <v>-1.1161419273165203</v>
      </c>
      <c r="R25">
        <f>IF(D25="C",1,-1)</f>
        <v>-1</v>
      </c>
      <c r="S25" s="9">
        <f t="shared" si="22"/>
        <v>6.2587451778959569</v>
      </c>
      <c r="T25" s="10">
        <f t="shared" si="23"/>
        <v>-0.83081137728197563</v>
      </c>
      <c r="U25" s="5">
        <f t="shared" si="24"/>
        <v>4.8817168629682446E-2</v>
      </c>
      <c r="V25" s="11">
        <f t="shared" si="25"/>
        <v>5.094669926002914</v>
      </c>
      <c r="W25" s="11">
        <f t="shared" si="26"/>
        <v>1.1792429300642072E-2</v>
      </c>
      <c r="X25" s="12">
        <f t="shared" si="27"/>
        <v>-0.12818494382210927</v>
      </c>
      <c r="Y25" s="12">
        <v>5.4032</v>
      </c>
      <c r="Z25" s="6">
        <v>1000000</v>
      </c>
      <c r="AA25" s="3">
        <f>Z25*U25*C25*1%*C25/Y25</f>
        <v>95724.593215261542</v>
      </c>
      <c r="AB25" s="6">
        <f>Z25*T25</f>
        <v>-830811.37728197558</v>
      </c>
    </row>
    <row r="26" spans="2:42" x14ac:dyDescent="0.25">
      <c r="B26" s="2">
        <v>45982</v>
      </c>
      <c r="C26">
        <v>32.549999999999997</v>
      </c>
      <c r="D26" t="s">
        <v>28</v>
      </c>
      <c r="E26" s="2" cm="1">
        <f t="array" ref="E26">BRISTO.NEXT_BDAYS(E20,-1,holiday_b3[])</f>
        <v>46128</v>
      </c>
      <c r="F26" s="3">
        <v>40.5</v>
      </c>
      <c r="G26" s="4">
        <v>0.05</v>
      </c>
      <c r="H26" s="5">
        <v>0.25590000000000002</v>
      </c>
      <c r="I26" s="6" cm="1">
        <f t="array" ref="I26">BRISTO.BDAYS(B26,E26,holiday_b3[])</f>
        <v>97</v>
      </c>
      <c r="J26" s="7">
        <f>I26/252</f>
        <v>0.38492063492063494</v>
      </c>
      <c r="K26" s="8">
        <v>0.14712500000000001</v>
      </c>
      <c r="L26" s="6" cm="1">
        <f t="array" ref="L26">BRISTO.BDAYS(B26,E26,holiday_br[])</f>
        <v>99</v>
      </c>
      <c r="M26" s="5">
        <f t="shared" si="18"/>
        <v>0.14008889075821618</v>
      </c>
      <c r="N26" s="5">
        <f t="shared" si="19"/>
        <v>4.8790164169432049E-2</v>
      </c>
      <c r="O26" s="5">
        <f t="shared" si="20"/>
        <v>9.1298726588784129E-2</v>
      </c>
      <c r="P26">
        <f t="shared" si="21"/>
        <v>-1.0756663994859976</v>
      </c>
      <c r="Q26" s="7">
        <f t="shared" si="17"/>
        <v>-1.2344318070622613</v>
      </c>
      <c r="R26">
        <f>IF(D26="C",1,-1)</f>
        <v>1</v>
      </c>
      <c r="S26" s="9">
        <f t="shared" si="22"/>
        <v>0.34100220759256228</v>
      </c>
      <c r="T26" s="10">
        <f t="shared" si="23"/>
        <v>0.13841421085583866</v>
      </c>
      <c r="U26" s="5">
        <f t="shared" si="24"/>
        <v>4.2481025821466997E-2</v>
      </c>
      <c r="V26" s="11">
        <f t="shared" si="25"/>
        <v>4.4334157582991516</v>
      </c>
      <c r="W26" s="11">
        <f t="shared" si="26"/>
        <v>-7.2907138534563766E-3</v>
      </c>
      <c r="X26" s="12">
        <f t="shared" si="27"/>
        <v>1.6029559305920781E-2</v>
      </c>
      <c r="Y26" s="12">
        <v>5.4032</v>
      </c>
      <c r="Z26" s="6">
        <v>1000000</v>
      </c>
      <c r="AA26" s="3">
        <f>Z26*U26*C26*1%*C26/Y26</f>
        <v>83300.179635047432</v>
      </c>
      <c r="AB26" s="6">
        <f>Z26*T26</f>
        <v>138414.21085583867</v>
      </c>
    </row>
    <row r="27" spans="2:42" x14ac:dyDescent="0.25"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2:42" x14ac:dyDescent="0.25">
      <c r="S28" s="12"/>
      <c r="U28" s="12"/>
      <c r="V28" s="12"/>
      <c r="W28" s="68" t="s">
        <v>159</v>
      </c>
      <c r="X28" s="12" t="s">
        <v>54</v>
      </c>
      <c r="Y28" s="12"/>
      <c r="Z28" s="12"/>
      <c r="AA28" s="12"/>
      <c r="AB28" s="12"/>
    </row>
    <row r="29" spans="2:42" x14ac:dyDescent="0.25">
      <c r="S29" s="12"/>
      <c r="U29" s="12"/>
      <c r="V29" s="12"/>
      <c r="W29" s="12">
        <f>S23-S17</f>
        <v>-4.3689174824468324E-3</v>
      </c>
      <c r="X29" s="12">
        <f>W29-W23</f>
        <v>-1.2480827529991537E-4</v>
      </c>
      <c r="Y29" s="12"/>
      <c r="Z29" s="12"/>
      <c r="AA29" s="12"/>
      <c r="AB29" s="12"/>
    </row>
    <row r="30" spans="2:42" x14ac:dyDescent="0.25">
      <c r="S30" s="12"/>
      <c r="T30" s="12"/>
      <c r="U30" s="12"/>
      <c r="V30" s="12"/>
      <c r="W30" s="12">
        <f>S24-S18</f>
        <v>-1.9372548814850177E-2</v>
      </c>
      <c r="X30" s="12">
        <f t="shared" ref="X30:X32" si="28">W30-W24</f>
        <v>2.3920648180078205E-4</v>
      </c>
      <c r="Y30" s="12"/>
      <c r="Z30" s="12"/>
      <c r="AA30" s="12"/>
      <c r="AB30" s="12"/>
    </row>
    <row r="31" spans="2:42" x14ac:dyDescent="0.25">
      <c r="S31" s="12"/>
      <c r="T31" s="12"/>
      <c r="U31" s="12"/>
      <c r="V31" s="12"/>
      <c r="W31" s="12">
        <f>S25-S19</f>
        <v>1.1382747632207924E-2</v>
      </c>
      <c r="X31" s="12">
        <f t="shared" si="28"/>
        <v>-4.0968166843414859E-4</v>
      </c>
      <c r="Y31" s="12"/>
      <c r="Z31" s="12"/>
      <c r="AA31" s="12"/>
      <c r="AB31" s="12"/>
    </row>
    <row r="32" spans="2:42" x14ac:dyDescent="0.25">
      <c r="S32" s="12"/>
      <c r="T32" s="12"/>
      <c r="U32" s="12"/>
      <c r="V32" s="12"/>
      <c r="W32" s="12">
        <f>S26-S20</f>
        <v>-7.2637570001026219E-3</v>
      </c>
      <c r="X32" s="12">
        <f t="shared" si="28"/>
        <v>2.6956853353754702E-5</v>
      </c>
      <c r="Y32" s="12"/>
      <c r="Z32" s="12"/>
      <c r="AA32" s="12"/>
      <c r="AB32" s="12"/>
    </row>
    <row r="34" spans="1:30" x14ac:dyDescent="0.25">
      <c r="B34" s="1" t="s">
        <v>3</v>
      </c>
      <c r="C34" s="1" t="s">
        <v>4</v>
      </c>
      <c r="D34" s="1" t="s">
        <v>5</v>
      </c>
      <c r="E34" s="1" t="s">
        <v>6</v>
      </c>
      <c r="F34" s="1" t="s">
        <v>7</v>
      </c>
      <c r="G34" s="1" t="s">
        <v>8</v>
      </c>
      <c r="H34" s="1" t="s">
        <v>9</v>
      </c>
      <c r="I34" s="1" t="s">
        <v>10</v>
      </c>
      <c r="J34" s="1" t="s">
        <v>11</v>
      </c>
      <c r="K34" s="1" t="s">
        <v>12</v>
      </c>
      <c r="L34" s="1" t="s">
        <v>13</v>
      </c>
      <c r="M34" s="13" t="s">
        <v>14</v>
      </c>
      <c r="N34" s="13" t="s">
        <v>77</v>
      </c>
      <c r="P34" s="1" t="s">
        <v>15</v>
      </c>
      <c r="Q34" s="1" t="s">
        <v>16</v>
      </c>
      <c r="R34" s="1" t="s">
        <v>17</v>
      </c>
      <c r="S34" s="1" t="s">
        <v>18</v>
      </c>
      <c r="T34" s="1" t="s">
        <v>19</v>
      </c>
      <c r="U34" s="1" t="s">
        <v>20</v>
      </c>
      <c r="V34" s="1" t="s">
        <v>21</v>
      </c>
      <c r="W34" s="1" t="s">
        <v>22</v>
      </c>
      <c r="X34" s="1" t="s">
        <v>157</v>
      </c>
      <c r="Y34" s="1" t="s">
        <v>23</v>
      </c>
      <c r="Z34" s="1" t="s">
        <v>24</v>
      </c>
      <c r="AA34" s="1" t="s">
        <v>25</v>
      </c>
      <c r="AB34" s="1" t="s">
        <v>26</v>
      </c>
      <c r="AC34" s="1" t="s">
        <v>53</v>
      </c>
      <c r="AD34" s="1" t="s">
        <v>54</v>
      </c>
    </row>
    <row r="35" spans="1:30" x14ac:dyDescent="0.25">
      <c r="A35" t="s">
        <v>158</v>
      </c>
      <c r="B35" s="2">
        <v>45982</v>
      </c>
      <c r="C35">
        <v>32.549999999999997</v>
      </c>
      <c r="D35" t="s">
        <v>27</v>
      </c>
      <c r="E35" s="2">
        <v>46129</v>
      </c>
      <c r="F35" s="3">
        <v>32.5</v>
      </c>
      <c r="G35" s="4">
        <v>0.05</v>
      </c>
      <c r="H35" s="5">
        <v>0.2409</v>
      </c>
      <c r="I35" s="6" cm="1">
        <f t="array" ref="I35">BRISTO.BDAYS(B35,E35,holiday_b3[])</f>
        <v>98</v>
      </c>
      <c r="J35" s="7">
        <f>I35/252</f>
        <v>0.3888888888888889</v>
      </c>
      <c r="K35" s="8">
        <v>0.14712500000000001</v>
      </c>
      <c r="L35" s="6" cm="1">
        <f t="array" ref="L35">BRISTO.BDAYS(B35,E35,holiday_br[])</f>
        <v>100</v>
      </c>
      <c r="M35" s="5">
        <f>L35/I35*LN(1+K35)</f>
        <v>0.14006001240514299</v>
      </c>
      <c r="N35" s="5">
        <f>LN(1+G35)</f>
        <v>4.8790164169432049E-2</v>
      </c>
      <c r="O35" s="5">
        <f>M35-N35</f>
        <v>9.1269848235710938E-2</v>
      </c>
      <c r="P35">
        <f>(LN(C35/F35) + ((M35-N35) + (H35^2)/2)*J35) / (H35*SQRT(J35))</f>
        <v>0.32161390232759507</v>
      </c>
      <c r="Q35" s="7">
        <f t="shared" ref="Q35:Q38" si="29">P35-H35*SQRT(J35)</f>
        <v>0.17138635824862133</v>
      </c>
      <c r="R35">
        <f>IF(D35="C",1,-1)</f>
        <v>-1</v>
      </c>
      <c r="S35" s="9" cm="1">
        <f t="array" ref="S35:X35">BRISTO.OPT_BS(C35,D35,J35,F35,M35,N35,H35,A35)</f>
        <v>1.3536688595565973</v>
      </c>
      <c r="T35" s="10">
        <v>-0.3668456395588382</v>
      </c>
      <c r="U35" s="5">
        <v>7.6016608331291896E-2</v>
      </c>
      <c r="V35" s="11">
        <v>7.5452356716946092</v>
      </c>
      <c r="W35" s="11">
        <v>-4.1965986153027794E-3</v>
      </c>
      <c r="X35" s="12">
        <v>-5.170081166132081E-2</v>
      </c>
      <c r="Y35" s="12">
        <v>5.4032</v>
      </c>
      <c r="Z35" s="6">
        <v>1000000</v>
      </c>
      <c r="AA35" s="3">
        <f>Z35*U35*C35*1%*C35/Y35</f>
        <v>149059.4213956999</v>
      </c>
      <c r="AB35" s="6">
        <f>Z35*T35</f>
        <v>-366845.63955883821</v>
      </c>
      <c r="AC35" s="5" cm="1">
        <f t="array" ref="AC35">BRISTO.OPT_BS_IVOL(S35,C35,D35,F35,J35,M35,N35)</f>
        <v>0.24090290069580078</v>
      </c>
      <c r="AD35" s="5">
        <f>AC35-H35</f>
        <v>2.9006958007782302E-6</v>
      </c>
    </row>
    <row r="36" spans="1:30" x14ac:dyDescent="0.25">
      <c r="A36" t="s">
        <v>158</v>
      </c>
      <c r="B36" s="2">
        <v>45982</v>
      </c>
      <c r="C36">
        <v>32.549999999999997</v>
      </c>
      <c r="D36" t="s">
        <v>28</v>
      </c>
      <c r="E36" s="2">
        <v>46129</v>
      </c>
      <c r="F36" s="3">
        <v>32.5</v>
      </c>
      <c r="G36" s="4">
        <v>0</v>
      </c>
      <c r="H36" s="5">
        <v>0.2409</v>
      </c>
      <c r="I36" s="6" cm="1">
        <f t="array" ref="I36">BRISTO.BDAYS(B36,E36,holiday_b3[])</f>
        <v>98</v>
      </c>
      <c r="J36" s="7">
        <f>I36/252</f>
        <v>0.3888888888888889</v>
      </c>
      <c r="K36" s="8">
        <v>0.14712500000000001</v>
      </c>
      <c r="L36" s="6" cm="1">
        <f t="array" ref="L36">BRISTO.BDAYS(B36,E36,holiday_br[])</f>
        <v>100</v>
      </c>
      <c r="M36" s="5">
        <f t="shared" ref="M36:M38" si="30">L36/I36*LN(1+K36)</f>
        <v>0.14006001240514299</v>
      </c>
      <c r="N36" s="5">
        <f t="shared" ref="N36:N38" si="31">LN(1+G36)</f>
        <v>0</v>
      </c>
      <c r="O36" s="5">
        <f t="shared" ref="O36:O38" si="32">M36-N36</f>
        <v>0.14006001240514299</v>
      </c>
      <c r="P36">
        <f t="shared" ref="P36:P38" si="33">(LN(C36/F36) + ((M36-N36) + (H36^2)/2)*J36) / (H36*SQRT(J36))</f>
        <v>0.44791532627008068</v>
      </c>
      <c r="Q36" s="7">
        <f t="shared" si="29"/>
        <v>0.29768778219110692</v>
      </c>
      <c r="R36">
        <f>IF(D36="C",1,-1)</f>
        <v>1</v>
      </c>
      <c r="S36" s="9" cm="1">
        <f t="array" ref="S36:X36">BRISTO.OPT_BS(C36,D36,J36,F36,M36,N36,H36,A36)</f>
        <v>2.9122641694236968</v>
      </c>
      <c r="T36" s="10">
        <v>0.67289284652870363</v>
      </c>
      <c r="U36" s="5">
        <v>7.3797841347946175E-2</v>
      </c>
      <c r="V36" s="11">
        <v>7.3250059066811799</v>
      </c>
      <c r="W36" s="11">
        <v>-1.9557773779967865E-2</v>
      </c>
      <c r="X36" s="12">
        <v>7.3851547719777338E-2</v>
      </c>
      <c r="Y36" s="12">
        <v>5.4032</v>
      </c>
      <c r="Z36" s="6">
        <v>1000000</v>
      </c>
      <c r="AA36" s="3">
        <f>Z36*U36*C36*1%*C36/Y36</f>
        <v>144708.68633911817</v>
      </c>
      <c r="AB36" s="6">
        <f>Z36*T36</f>
        <v>672892.84652870358</v>
      </c>
      <c r="AC36" s="5" cm="1">
        <f t="array" ref="AC36">BRISTO.OPT_BS_IVOL(S36,C36,D36,F36,J36,M36,N36)</f>
        <v>0.24090290069580078</v>
      </c>
      <c r="AD36" s="5">
        <f>AC36-H36</f>
        <v>2.9006958007782302E-6</v>
      </c>
    </row>
    <row r="37" spans="1:30" x14ac:dyDescent="0.25">
      <c r="A37" t="s">
        <v>158</v>
      </c>
      <c r="B37" s="2">
        <v>45982</v>
      </c>
      <c r="C37">
        <v>32.549999999999997</v>
      </c>
      <c r="D37" t="s">
        <v>27</v>
      </c>
      <c r="E37" s="2">
        <v>46129</v>
      </c>
      <c r="F37" s="3">
        <v>40.5</v>
      </c>
      <c r="G37" s="4">
        <v>0</v>
      </c>
      <c r="H37" s="5">
        <v>0.25590000000000002</v>
      </c>
      <c r="I37" s="6" cm="1">
        <f t="array" ref="I37">BRISTO.BDAYS(B37,E37,holiday_b3[])</f>
        <v>98</v>
      </c>
      <c r="J37" s="7">
        <f>I37/252</f>
        <v>0.3888888888888889</v>
      </c>
      <c r="K37" s="8">
        <v>0.14712500000000001</v>
      </c>
      <c r="L37" s="6" cm="1">
        <f t="array" ref="L37">BRISTO.BDAYS(B37,E37,holiday_br[])</f>
        <v>100</v>
      </c>
      <c r="M37" s="5">
        <f t="shared" si="30"/>
        <v>0.14006001240514299</v>
      </c>
      <c r="N37" s="5">
        <f t="shared" si="31"/>
        <v>0</v>
      </c>
      <c r="O37" s="5">
        <f t="shared" si="32"/>
        <v>0.14006001240514299</v>
      </c>
      <c r="P37">
        <f t="shared" si="33"/>
        <v>-0.94825206878691748</v>
      </c>
      <c r="Q37" s="7">
        <f t="shared" si="29"/>
        <v>-1.107833756332826</v>
      </c>
      <c r="R37">
        <f>IF(D37="C",1,-1)</f>
        <v>-1</v>
      </c>
      <c r="S37" s="9" cm="1">
        <f t="array" ref="S37:X37">BRISTO.OPT_BS(C37,D37,J37,F37,M37,N37,H37,A37)</f>
        <v>6.2473624302637489</v>
      </c>
      <c r="T37" s="10">
        <v>-0.82849942725574388</v>
      </c>
      <c r="U37" s="5">
        <v>4.899154461682699E-2</v>
      </c>
      <c r="V37" s="11">
        <v>5.1655781791054505</v>
      </c>
      <c r="W37" s="11">
        <v>1.171645606549989E-2</v>
      </c>
      <c r="X37" s="12">
        <v>-0.12916951750670413</v>
      </c>
      <c r="Y37" s="12">
        <v>5.4032</v>
      </c>
      <c r="Z37" s="6">
        <v>1000000</v>
      </c>
      <c r="AA37" s="3">
        <f>Z37*U37*C37*1%*C37/Y37</f>
        <v>96066.523542326278</v>
      </c>
      <c r="AB37" s="6">
        <f>Z37*T37</f>
        <v>-828499.42725574388</v>
      </c>
      <c r="AC37" s="5" cm="1">
        <f t="array" ref="AC37">BRISTO.OPT_BS_IVOL(S37,C37,D37,F37,J37,M37,N37)</f>
        <v>0.25590419769287109</v>
      </c>
      <c r="AD37" s="5">
        <f>AC37-H37</f>
        <v>4.1976928710774075E-6</v>
      </c>
    </row>
    <row r="38" spans="1:30" x14ac:dyDescent="0.25">
      <c r="A38" t="s">
        <v>158</v>
      </c>
      <c r="B38" s="2">
        <v>45982</v>
      </c>
      <c r="C38">
        <v>32.549999999999997</v>
      </c>
      <c r="D38" t="s">
        <v>28</v>
      </c>
      <c r="E38" s="2">
        <v>46129</v>
      </c>
      <c r="F38" s="3">
        <v>40.5</v>
      </c>
      <c r="G38" s="4">
        <v>0.05</v>
      </c>
      <c r="H38" s="5">
        <v>0.25590000000000002</v>
      </c>
      <c r="I38" s="6" cm="1">
        <f t="array" ref="I38">BRISTO.BDAYS(B38,E38,holiday_b3[])</f>
        <v>98</v>
      </c>
      <c r="J38" s="7">
        <f>I38/252</f>
        <v>0.3888888888888889</v>
      </c>
      <c r="K38" s="8">
        <v>0.14712500000000001</v>
      </c>
      <c r="L38" s="6" cm="1">
        <f t="array" ref="L38">BRISTO.BDAYS(B38,E38,holiday_br[])</f>
        <v>100</v>
      </c>
      <c r="M38" s="5">
        <f t="shared" si="30"/>
        <v>0.14006001240514299</v>
      </c>
      <c r="N38" s="5">
        <f t="shared" si="31"/>
        <v>4.8790164169432049E-2</v>
      </c>
      <c r="O38" s="5">
        <f t="shared" si="32"/>
        <v>9.1269848235710938E-2</v>
      </c>
      <c r="P38">
        <f t="shared" si="33"/>
        <v>-1.0671501267304297</v>
      </c>
      <c r="Q38" s="7">
        <f t="shared" si="29"/>
        <v>-1.2267318142763384</v>
      </c>
      <c r="R38">
        <f>IF(D38="C",1,-1)</f>
        <v>1</v>
      </c>
      <c r="S38" s="9" cm="1">
        <f t="array" ref="S38:X38">BRISTO.OPT_BS(C38,D38,J38,F38,M38,N38,H38,A38)</f>
        <v>0.3482659645926649</v>
      </c>
      <c r="T38" s="10">
        <v>0.14026522989850693</v>
      </c>
      <c r="U38" s="5">
        <v>4.2642869268756961E-2</v>
      </c>
      <c r="V38" s="11">
        <v>4.4961855502200283</v>
      </c>
      <c r="W38" s="11">
        <v>-7.3303007707029846E-3</v>
      </c>
      <c r="X38" s="12">
        <v>1.6400872711236747E-2</v>
      </c>
      <c r="Y38" s="12">
        <v>5.4032</v>
      </c>
      <c r="Z38" s="6">
        <v>1000000</v>
      </c>
      <c r="AA38" s="3">
        <f>Z38*U38*C38*1%*C38/Y38</f>
        <v>83617.535159574283</v>
      </c>
      <c r="AB38" s="6">
        <f>Z38*T38</f>
        <v>140265.22989850692</v>
      </c>
      <c r="AC38" s="5" cm="1">
        <f t="array" ref="AC38">BRISTO.OPT_BS_IVOL(S38,C38,D38,F38,J38,M38,N38)</f>
        <v>0.25590419769287109</v>
      </c>
      <c r="AD38" s="5">
        <f>AC38-H38</f>
        <v>4.1976928710774075E-6</v>
      </c>
    </row>
    <row r="40" spans="1:30" x14ac:dyDescent="0.25">
      <c r="S40" s="12">
        <f t="shared" ref="S40:AB40" si="34">S17-S35</f>
        <v>0</v>
      </c>
      <c r="T40" s="12">
        <f t="shared" si="34"/>
        <v>0</v>
      </c>
      <c r="U40" s="12">
        <f t="shared" si="34"/>
        <v>0</v>
      </c>
      <c r="V40" s="12">
        <f t="shared" si="34"/>
        <v>0</v>
      </c>
      <c r="W40" s="12">
        <f t="shared" si="34"/>
        <v>0</v>
      </c>
      <c r="X40" s="12">
        <f t="shared" si="34"/>
        <v>0</v>
      </c>
      <c r="Y40" s="12">
        <f t="shared" si="34"/>
        <v>0</v>
      </c>
      <c r="Z40" s="12">
        <f t="shared" si="34"/>
        <v>0</v>
      </c>
      <c r="AA40" s="12">
        <f t="shared" si="34"/>
        <v>0</v>
      </c>
      <c r="AB40" s="12">
        <f t="shared" si="34"/>
        <v>0</v>
      </c>
    </row>
    <row r="41" spans="1:30" x14ac:dyDescent="0.25">
      <c r="S41" s="12">
        <f t="shared" ref="S41:AB41" si="35">S18-S36</f>
        <v>0</v>
      </c>
      <c r="T41" s="12">
        <f t="shared" si="35"/>
        <v>0</v>
      </c>
      <c r="U41" s="12">
        <f t="shared" si="35"/>
        <v>0</v>
      </c>
      <c r="V41" s="12">
        <f t="shared" si="35"/>
        <v>0</v>
      </c>
      <c r="W41" s="12">
        <f t="shared" si="35"/>
        <v>0</v>
      </c>
      <c r="X41" s="12">
        <f t="shared" si="35"/>
        <v>0</v>
      </c>
      <c r="Y41" s="12">
        <f t="shared" si="35"/>
        <v>0</v>
      </c>
      <c r="Z41" s="12">
        <f t="shared" si="35"/>
        <v>0</v>
      </c>
      <c r="AA41" s="12">
        <f t="shared" si="35"/>
        <v>0</v>
      </c>
      <c r="AB41" s="12">
        <f t="shared" si="35"/>
        <v>0</v>
      </c>
    </row>
    <row r="42" spans="1:30" x14ac:dyDescent="0.25">
      <c r="S42" s="12">
        <f t="shared" ref="S42:AB42" si="36">S19-S37</f>
        <v>0</v>
      </c>
      <c r="T42" s="12">
        <f t="shared" si="36"/>
        <v>0</v>
      </c>
      <c r="U42" s="12">
        <f t="shared" si="36"/>
        <v>0</v>
      </c>
      <c r="V42" s="12">
        <f t="shared" si="36"/>
        <v>0</v>
      </c>
      <c r="W42" s="12">
        <f t="shared" si="36"/>
        <v>0</v>
      </c>
      <c r="X42" s="12">
        <f t="shared" si="36"/>
        <v>0</v>
      </c>
      <c r="Y42" s="12">
        <f t="shared" si="36"/>
        <v>0</v>
      </c>
      <c r="Z42" s="12">
        <f t="shared" si="36"/>
        <v>0</v>
      </c>
      <c r="AA42" s="12">
        <f t="shared" si="36"/>
        <v>0</v>
      </c>
      <c r="AB42" s="12">
        <f t="shared" si="36"/>
        <v>0</v>
      </c>
    </row>
    <row r="43" spans="1:30" x14ac:dyDescent="0.25">
      <c r="S43" s="12">
        <f t="shared" ref="S43:AB43" si="37">S20-S38</f>
        <v>0</v>
      </c>
      <c r="T43" s="12">
        <f t="shared" si="37"/>
        <v>0</v>
      </c>
      <c r="U43" s="12">
        <f t="shared" si="37"/>
        <v>0</v>
      </c>
      <c r="V43" s="12">
        <f t="shared" si="37"/>
        <v>0</v>
      </c>
      <c r="W43" s="12">
        <f t="shared" si="37"/>
        <v>0</v>
      </c>
      <c r="X43" s="12">
        <f t="shared" si="37"/>
        <v>0</v>
      </c>
      <c r="Y43" s="12">
        <f t="shared" si="37"/>
        <v>0</v>
      </c>
      <c r="Z43" s="12">
        <f t="shared" si="37"/>
        <v>0</v>
      </c>
      <c r="AA43" s="12">
        <f t="shared" si="37"/>
        <v>0</v>
      </c>
      <c r="AB43" s="12">
        <f t="shared" si="37"/>
        <v>0</v>
      </c>
    </row>
  </sheetData>
  <mergeCells count="2">
    <mergeCell ref="AD15:AG15"/>
    <mergeCell ref="AH15:AK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ch3</vt:lpstr>
      <vt:lpstr>tables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2026-02-23T11:34:32Z</dcterms:modified>
</cp:coreProperties>
</file>