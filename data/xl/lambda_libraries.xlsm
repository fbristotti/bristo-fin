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919BEA67-311F-4596-A267-397A769F58E6}" xr6:coauthVersionLast="47" xr6:coauthVersionMax="47" xr10:uidLastSave="{00000000-0000-0000-0000-000000000000}"/>
  <bookViews>
    <workbookView xWindow="14295" yWindow="0" windowWidth="14610" windowHeight="15585" activeTab="1" xr2:uid="{DE452286-8C54-42EA-9FBD-687FCC5FC56A}"/>
  </bookViews>
  <sheets>
    <sheet name="bristo.lambdas" sheetId="1" r:id="rId1"/>
    <sheet name="ch1" sheetId="8" r:id="rId2"/>
    <sheet name="tables" sheetId="7" r:id="rId3"/>
    <sheet name="options" sheetId="3" r:id="rId4"/>
    <sheet name="box" sheetId="5" r:id="rId5"/>
  </sheets>
  <definedNames>
    <definedName name="_xleta.DELTA" hidden="1" xlm="1">#NAME?</definedName>
    <definedName name="_xleta.GAMMA" hidden="1" xlm="1">#NAME?</definedName>
    <definedName name="_xleta.INDEX" hidden="1" xlm="1">#NAME?</definedName>
    <definedName name="_xleta.ROWS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weight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_min" hidden="1" xlm="1">#NAME?</definedName>
    <definedName name="_xlpm.acc" hidden="1" xlm="1">#NAME?</definedName>
    <definedName name="_xlpm.acum" hidden="1" xlm="1">#NAME?</definedName>
    <definedName name="_xlpm.all_data" hidden="1" xlm="1">#NAME?</definedName>
    <definedName name="_xlpm.array" hidden="1" xlm="1">#NAME?</definedName>
    <definedName name="_xlpm.b" hidden="1" xlm="1">#NAME?</definedName>
    <definedName name="_xlpm.b_mi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min" hidden="1" xlm="1">#NAME?</definedName>
    <definedName name="_xlpm.c_p" hidden="1" xlm="1">#NAME?</definedName>
    <definedName name="_xlpm.chars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" hidden="1" xlm="1">#NAME?</definedName>
    <definedName name="_xlpm.cp_0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_min" hidden="1" xlm="1">#NAME?</definedName>
    <definedName name="_xlpm.days" hidden="1" xlm="1">#NAME?</definedName>
    <definedName name="_xlpm.debug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x" hidden="1" xlm="1">#NAME?</definedName>
    <definedName name="_xlpm.dy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K" hidden="1" xlm="1">#NAME?</definedName>
    <definedName name="_xlpm.ki" hidden="1" xlm="1">#NAME?</definedName>
    <definedName name="_xlpm.ki_1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" hidden="1" xlm="1">#NAME?</definedName>
    <definedName name="_xlpm.m_tr" hidden="1" xlm="1">#NAME?</definedName>
    <definedName name="_xlpm.m_tri" hidden="1" xlm="1">#NAME?</definedName>
    <definedName name="_xlpm.m_trid" hidden="1" xlm="1">#NAME?</definedName>
    <definedName name="_xlpm.m_tridi" hidden="1" xlm="1">#NAME?</definedName>
    <definedName name="_xlpm.m_tridia" hidden="1" xlm="1">#NAME?</definedName>
    <definedName name="_xlpm.m_tridiag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trid" hidden="1" xlm="1">#NAME?</definedName>
    <definedName name="_xlpm.NM_STEP" hidden="1" xlm="1">#NAME?</definedName>
    <definedName name="_xlpm.offsets" hidden="1" xlm="1">#NAME?</definedName>
    <definedName name="_xlpm.ones" hidden="1" xlm="1">#NAME?</definedName>
    <definedName name="_xlpm.output" hidden="1" xlm="1">#NAME?</definedName>
    <definedName name="_xlpm.p" hidden="1" xlm="1">#NAME?</definedName>
    <definedName name="_xlpm.p_val" hidden="1" xlm="1">#NAME?</definedName>
    <definedName name="_xlpm.price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ot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art" hidden="1" xlm="1">#NAME?</definedName>
    <definedName name="_xlpm.step" hidden="1" xlm="1">#NAME?</definedName>
    <definedName name="_xlpm.strike" hidden="1" xlm="1">#NAME?</definedName>
    <definedName name="_xlpm.sw" hidden="1" xlm="1">#NAME?</definedName>
    <definedName name="_xlpm.swe" hidden="1" xlm="1">#NAME?</definedName>
    <definedName name="_xlpm.swee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pe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w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yi" hidden="1" xlm="1">#NAME?</definedName>
    <definedName name="_xlpm.yi_1" hidden="1" xlm="1">#NAME?</definedName>
    <definedName name="_xlpm.z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2" hidden="1">tables!$A$1:$A$868</definedName>
    <definedName name="ExternalData_2" localSheetId="2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8" l="1" a="1"/>
  <c r="I113" i="8" s="1"/>
  <c r="C17" i="1" a="1"/>
  <c r="C17" i="1" s="1"/>
  <c r="F122" i="8" a="1"/>
  <c r="F122" i="8" s="1"/>
  <c r="B122" i="8" a="1"/>
  <c r="F104" i="8" a="1"/>
  <c r="F104" i="8" s="1"/>
  <c r="F107" i="8" a="1"/>
  <c r="F107" i="8" s="1"/>
  <c r="C16" i="1" a="1"/>
  <c r="C16" i="1" s="1"/>
  <c r="C12" i="1" a="1"/>
  <c r="C12" i="1" s="1"/>
  <c r="B93" i="8" a="1"/>
  <c r="C13" i="1" a="1"/>
  <c r="C13" i="1" s="1"/>
  <c r="C14" i="1" a="1"/>
  <c r="C14" i="1" s="1"/>
  <c r="F18" i="1" a="1"/>
  <c r="F18" i="1" s="1"/>
  <c r="H34" i="1" s="1" a="1"/>
  <c r="H34" i="1" s="1"/>
  <c r="F10" i="1" a="1"/>
  <c r="C15" i="1" a="1"/>
  <c r="C15" i="1" s="1"/>
  <c r="B49" i="8" a="1"/>
  <c r="B35" i="8" a="1"/>
  <c r="B28" i="8" a="1"/>
  <c r="B28" i="8" s="1"/>
  <c r="C25" i="8" a="1"/>
  <c r="C25" i="8" s="1"/>
  <c r="D25" i="8" s="1" a="1"/>
  <c r="D25" i="8" s="1"/>
  <c r="E25" i="8" s="1"/>
  <c r="D6" i="8"/>
  <c r="C6" i="8"/>
  <c r="C14" i="8"/>
  <c r="C11" i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B122" i="8" l="1"/>
  <c r="J148" i="8" s="1" a="1"/>
  <c r="J148" i="8" s="1"/>
  <c r="G122" i="8" a="1"/>
  <c r="B93" i="8"/>
  <c r="F10" i="1"/>
  <c r="F22" i="1" a="1"/>
  <c r="F22" i="1" s="1"/>
  <c r="B49" i="8"/>
  <c r="B35" i="8"/>
  <c r="C8" i="8"/>
  <c r="C7" i="8"/>
  <c r="C10" i="8"/>
  <c r="C9" i="8"/>
  <c r="C18" i="8"/>
  <c r="C16" i="8"/>
  <c r="C17" i="8"/>
  <c r="C15" i="8"/>
  <c r="O3" i="3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N18" i="3"/>
  <c r="N17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G122" i="8" l="1"/>
  <c r="C35" i="8" a="1"/>
  <c r="O17" i="3"/>
  <c r="P17" i="3" s="1"/>
  <c r="Q17" i="3" s="1"/>
  <c r="S17" i="3" a="1"/>
  <c r="O19" i="3"/>
  <c r="P19" i="3" s="1"/>
  <c r="Q19" i="3" s="1"/>
  <c r="S19" i="3" a="1"/>
  <c r="O18" i="3"/>
  <c r="P18" i="3" s="1"/>
  <c r="Q18" i="3" s="1"/>
  <c r="S18" i="3" a="1"/>
  <c r="V3" i="3"/>
  <c r="T3" i="3"/>
  <c r="U3" i="3"/>
  <c r="Q3" i="3"/>
  <c r="V6" i="3"/>
  <c r="V25" i="3" s="1"/>
  <c r="T6" i="3"/>
  <c r="U6" i="3"/>
  <c r="Q6" i="3"/>
  <c r="AA9" i="5"/>
  <c r="AB9" i="5"/>
  <c r="S9" i="5"/>
  <c r="O9" i="5"/>
  <c r="P9" i="5" s="1"/>
  <c r="Q9" i="5" s="1"/>
  <c r="S8" i="5"/>
  <c r="AA8" i="5"/>
  <c r="AB8" i="5"/>
  <c r="O8" i="5"/>
  <c r="P8" i="5" s="1"/>
  <c r="Q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Q5" i="3"/>
  <c r="T5" i="3"/>
  <c r="U5" i="3"/>
  <c r="V5" i="3"/>
  <c r="T11" i="3"/>
  <c r="Q11" i="3"/>
  <c r="V11" i="3"/>
  <c r="U11" i="3"/>
  <c r="Q4" i="3"/>
  <c r="T4" i="3"/>
  <c r="U4" i="3"/>
  <c r="V4" i="3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C35" i="8" l="1"/>
  <c r="B45" i="8" s="1" a="1"/>
  <c r="V22" i="3"/>
  <c r="S17" i="3"/>
  <c r="AB17" i="3" s="1" a="1"/>
  <c r="AB17" i="3" s="1"/>
  <c r="AC17" i="3" s="1"/>
  <c r="AA17" i="3"/>
  <c r="Z17" i="3"/>
  <c r="Z9" i="5"/>
  <c r="AC9" i="5" a="1"/>
  <c r="AC9" i="5" s="1"/>
  <c r="AD9" i="5" s="1"/>
  <c r="V24" i="3"/>
  <c r="S19" i="3"/>
  <c r="AB19" i="3" s="1" a="1"/>
  <c r="AB19" i="3" s="1"/>
  <c r="AC19" i="3" s="1"/>
  <c r="Z19" i="3"/>
  <c r="AA19" i="3"/>
  <c r="Z8" i="5"/>
  <c r="AC8" i="5" a="1"/>
  <c r="AC8" i="5" s="1"/>
  <c r="AD8" i="5" s="1"/>
  <c r="AA18" i="3"/>
  <c r="Z18" i="3"/>
  <c r="S18" i="3"/>
  <c r="AB18" i="3" s="1" a="1"/>
  <c r="AB18" i="3" s="1"/>
  <c r="AC18" i="3" s="1"/>
  <c r="V23" i="3"/>
  <c r="AA3" i="3"/>
  <c r="T22" i="3"/>
  <c r="Z3" i="3"/>
  <c r="U22" i="3"/>
  <c r="S3" i="3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T24" i="3"/>
  <c r="Z5" i="3"/>
  <c r="U24" i="3"/>
  <c r="AA4" i="3"/>
  <c r="T23" i="3"/>
  <c r="Z4" i="3"/>
  <c r="U23" i="3"/>
  <c r="S5" i="3"/>
  <c r="W5" i="3"/>
  <c r="W24" i="3" s="1"/>
  <c r="S11" i="3"/>
  <c r="W11" i="3"/>
  <c r="Z11" i="3"/>
  <c r="W4" i="3"/>
  <c r="W23" i="3" s="1"/>
  <c r="S4" i="3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B45" i="8" l="1"/>
  <c r="AA22" i="3"/>
  <c r="C49" i="8" a="1"/>
  <c r="C49" i="8" s="1"/>
  <c r="Z22" i="3"/>
  <c r="S22" i="3"/>
  <c r="AA24" i="3"/>
  <c r="S24" i="3"/>
  <c r="Z24" i="3"/>
  <c r="AA23" i="3"/>
  <c r="Z23" i="3"/>
  <c r="S23" i="3"/>
  <c r="Z10" i="5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7" i="5" a="1"/>
  <c r="AC27" i="5" s="1"/>
  <c r="AD27" i="5" s="1"/>
  <c r="Z27" i="5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29" i="5" l="1"/>
  <c r="AC29" i="5" a="1"/>
  <c r="AC29" i="5" s="1"/>
  <c r="AD29" i="5" s="1"/>
  <c r="Z28" i="5"/>
  <c r="AC28" i="5" a="1"/>
  <c r="AC28" i="5" s="1"/>
  <c r="AD28" i="5" s="1"/>
  <c r="Z26" i="5"/>
  <c r="AC26" i="5" a="1"/>
  <c r="AC26" i="5" s="1"/>
  <c r="AD26" i="5" s="1"/>
  <c r="H34" i="3"/>
  <c r="L34" i="3"/>
  <c r="M34" i="3" s="1"/>
  <c r="H35" i="3"/>
  <c r="Z30" i="5" l="1"/>
  <c r="Z31" i="5" s="1"/>
  <c r="AG13" i="3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  <c r="H122" i="8" a="1"/>
  <c r="H122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<sst xmlns="http://schemas.openxmlformats.org/spreadsheetml/2006/main" count="315" uniqueCount="127">
  <si>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</si>
  <si>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</si>
  <si>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</si>
  <si>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</si>
  <si>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</si>
  <si>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</si>
  <si>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</si>
  <si>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</si>
  <si>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</si>
  <si>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</si>
  <si>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</si>
  <si>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</si>
  <si>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</si>
  <si>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</si>
  <si>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</si>
  <si>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</si>
  <si>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</si>
  <si>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</si>
  <si>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</si>
  <si>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</si>
  <si>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</si>
  <si>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</si>
  <si>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</si>
  <si>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</si>
  <si>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</si>
  <si>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</si>
  <si>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</si>
  <si>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</si>
  <si>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</si>
  <si>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</si>
  <si>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</si>
  <si>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</si>
  <si>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</si>
  <si>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</si>
  <si>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</si>
  <si>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</si>
  <si>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</si>
  <si>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</si>
  <si>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</si>
  <si>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</si>
  <si>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</si>
  <si>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</si>
  <si>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</si>
  <si>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</si>
  <si>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</si>
  <si>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</si>
  <si>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</si>
  <si>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</si>
  <si>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</si>
  <si>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</si>
  <si>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</si>
  <si>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</si>
  <si>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</si>
  <si>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</si>
  <si>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</si>
  <si>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</si>
  <si>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</si>
  <si>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</si>
  <si>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</si>
  <si>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</si>
  <si>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</si>
  <si>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</si>
  <si>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</si>
  <si>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</si>
  <si>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</si>
  <si>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</si>
  <si>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</si>
  <si>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</si>
  <si>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</si>
  <si>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</si>
  <si>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</si>
  <si>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</si>
  <si>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</si>
  <si>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</si>
  <si>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</si>
  <si>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</si>
  <si>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</si>
  <si>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</si>
  <si>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</si>
  <si>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</si>
  <si>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</si>
  <si>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</si>
  <si>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</si>
  <si>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</si>
  <si>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</si>
  <si>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</si>
  <si>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</si>
  <si>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</si>
  <si>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</si>
  <si>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</si>
  <si>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</si>
  <si>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</si>
  <si>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</si>
  <si>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</si>
  <si>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</si>
  <si>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</si>
  <si>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</si>
  <si>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</si>
  <si>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</si>
  <si>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</si>
  <si>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</si>
  <si>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</si>
  <si>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</si>
  <si>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</si>
  <si>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</si>
  <si>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</si>
  <si>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</si>
  <si>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</si>
  <si>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</si>
  <si>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</si>
  <si>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</si>
  <si>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</si>
  <si>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</si>
  <si>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</si>
  <si>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</si>
  <si>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</si>
  <si>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</si>
  <si>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</si>
  <si>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</si>
  <si>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</si>
  <si>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X_i</t>
  </si>
  <si>
    <t>a_i</t>
  </si>
  <si>
    <t>S(x)</t>
  </si>
  <si>
    <t>d</t>
  </si>
  <si>
    <t>BRISTO.TRI_DIAG_THOMAS</t>
  </si>
  <si>
    <t>TRI DIAGONAL MATRIX SOLVER - THOMAS ALGO</t>
  </si>
  <si>
    <t>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</si>
</sst>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"/>
    <numFmt numFmtId="176" formatCode="#,##0.00000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0" fontId="1" fillId="0" borderId="0" xfId="0" applyFont="1" applyAlignment="1">
      <alignment horizontal="center"/>
    </xf>
    <xf numFmtId="0" fontId="0" fillId="0" borderId="0" xfId="0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a_i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v>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'ch1'!$F$122:$F$210</c:f>
              <c:numCache>
                <c:formatCode>#,##0.00</c:formatCode>
                <c:ptCount val="89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  <c:pt idx="80">
                  <c:v>8.9999999999999858</c:v>
                </c:pt>
                <c:pt idx="81">
                  <c:v>9.0999999999999854</c:v>
                </c:pt>
                <c:pt idx="82">
                  <c:v>9.1999999999999851</c:v>
                </c:pt>
                <c:pt idx="83">
                  <c:v>9.2999999999999847</c:v>
                </c:pt>
                <c:pt idx="84">
                  <c:v>9.3999999999999844</c:v>
                </c:pt>
                <c:pt idx="85">
                  <c:v>9.499999999999984</c:v>
                </c:pt>
                <c:pt idx="86">
                  <c:v>9.5999999999999837</c:v>
                </c:pt>
                <c:pt idx="87">
                  <c:v>9.6999999999999833</c:v>
                </c:pt>
                <c:pt idx="88">
                  <c:v>9.7999999999999829</c:v>
                </c:pt>
              </c:numCache>
            </c:numRef>
          </c:xVal>
          <c:yVal>
            <c:numRef>
              <c:f>'ch1'!$H$122:$H$210</c:f>
              <c:numCache>
                <c:formatCode>#,##0.0000</c:formatCode>
                <c:ptCount val="89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  <c:pt idx="80">
                  <c:v>0.7</c:v>
                </c:pt>
                <c:pt idx="81">
                  <c:v>0.70060028534609697</c:v>
                </c:pt>
                <c:pt idx="82">
                  <c:v>0.70177025036818819</c:v>
                </c:pt>
                <c:pt idx="83">
                  <c:v>0.70407957474226746</c:v>
                </c:pt>
                <c:pt idx="84">
                  <c:v>0.70809793814432909</c:v>
                </c:pt>
                <c:pt idx="85">
                  <c:v>0.71439502025036705</c:v>
                </c:pt>
                <c:pt idx="86">
                  <c:v>0.7235405007363751</c:v>
                </c:pt>
                <c:pt idx="87">
                  <c:v>0.7361040592783481</c:v>
                </c:pt>
                <c:pt idx="88">
                  <c:v>0.75265537555227935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380999</xdr:colOff>
      <xdr:row>121</xdr:row>
      <xdr:rowOff>44824</xdr:rowOff>
    </xdr:from>
    <xdr:to>
      <xdr:col>23</xdr:col>
      <xdr:colOff>268941</xdr:colOff>
      <xdr:row>142</xdr:row>
      <xdr:rowOff>67236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7" totalsRowShown="0">
  <autoFilter ref="B4:C17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J1014"/>
  <sheetViews>
    <sheetView workbookViewId="0">
      <selection activeCell="C34" sqref="C34"/>
    </sheetView>
  </sheetViews>
  <sheetFormatPr defaultRowHeight="15" x14ac:dyDescent="0.25"/>
  <cols>
    <col min="2" max="2" width="24.7109375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F10" cm="1">
        <f t="array" ref="F10:F14">_xlfn.SEQUENCE(5,,1,3)</f>
        <v>1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F11">
        <v>4</v>
      </c>
      <c r="G11" s="2"/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  <c r="F12">
        <v>7</v>
      </c>
      <c r="G12" s="2"/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  <c r="F13">
        <v>10</v>
      </c>
      <c r="G13" s="2"/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  <c r="F14">
        <v>13</v>
      </c>
      <c r="G14" s="2"/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  <c r="G15" s="2"/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  <c r="G16" s="2"/>
    </row>
    <row r="17" spans="2:10" x14ac:dyDescent="0.25">
      <c r="B17" t="s">
        <v>124</v>
      </c>
      <c r="C17" t="e" cm="1" vm="1">
        <f t="array" ref="C17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  <c r="G17" s="2"/>
    </row>
    <row r="18" spans="2:10" x14ac:dyDescent="0.25">
      <c r="F18" s="6" cm="1">
        <f t="array" ref="F18:H20">BRISTO.MDIAG(_xlfn.SEQUENCE(3,,1,0))</f>
        <v>1</v>
      </c>
      <c r="G18" s="6">
        <v>0</v>
      </c>
      <c r="H18" s="6">
        <v>0</v>
      </c>
    </row>
    <row r="19" spans="2:10" x14ac:dyDescent="0.25">
      <c r="F19" s="6">
        <v>0</v>
      </c>
      <c r="G19" s="6">
        <v>1</v>
      </c>
      <c r="H19" s="6">
        <v>0</v>
      </c>
    </row>
    <row r="20" spans="2:10" x14ac:dyDescent="0.25">
      <c r="F20" s="6">
        <v>0</v>
      </c>
      <c r="G20" s="6">
        <v>0</v>
      </c>
      <c r="H20" s="6">
        <v>1</v>
      </c>
    </row>
    <row r="21" spans="2:10" x14ac:dyDescent="0.25">
      <c r="G21" s="2"/>
    </row>
    <row r="22" spans="2:10" x14ac:dyDescent="0.25">
      <c r="F22" s="6" cm="1">
        <f t="array" ref="F22:J26">BRISTO.MDIAG(_xlfn.ANCHORARRAY(F10))</f>
        <v>1</v>
      </c>
      <c r="G22" s="6">
        <v>0</v>
      </c>
      <c r="H22" s="6">
        <v>0</v>
      </c>
      <c r="I22" s="6">
        <v>0</v>
      </c>
      <c r="J22" s="6">
        <v>0</v>
      </c>
    </row>
    <row r="23" spans="2:10" x14ac:dyDescent="0.25">
      <c r="F23" s="6">
        <v>0</v>
      </c>
      <c r="G23" s="6">
        <v>4</v>
      </c>
      <c r="H23" s="6">
        <v>0</v>
      </c>
      <c r="I23" s="6">
        <v>0</v>
      </c>
      <c r="J23" s="6">
        <v>0</v>
      </c>
    </row>
    <row r="24" spans="2:10" x14ac:dyDescent="0.25">
      <c r="F24" s="6">
        <v>0</v>
      </c>
      <c r="G24" s="6">
        <v>0</v>
      </c>
      <c r="H24" s="6">
        <v>7</v>
      </c>
      <c r="I24" s="6">
        <v>0</v>
      </c>
      <c r="J24" s="6">
        <v>0</v>
      </c>
    </row>
    <row r="25" spans="2:10" x14ac:dyDescent="0.25">
      <c r="F25" s="6">
        <v>0</v>
      </c>
      <c r="G25" s="6">
        <v>0</v>
      </c>
      <c r="H25" s="6">
        <v>0</v>
      </c>
      <c r="I25" s="6">
        <v>10</v>
      </c>
      <c r="J25" s="6">
        <v>0</v>
      </c>
    </row>
    <row r="26" spans="2:10" x14ac:dyDescent="0.25">
      <c r="F26" s="6">
        <v>0</v>
      </c>
      <c r="G26" s="6">
        <v>0</v>
      </c>
      <c r="H26" s="6">
        <v>0</v>
      </c>
      <c r="I26" s="6">
        <v>0</v>
      </c>
      <c r="J26" s="6">
        <v>13</v>
      </c>
    </row>
    <row r="27" spans="2:10" x14ac:dyDescent="0.25">
      <c r="G27" s="2"/>
    </row>
    <row r="28" spans="2:10" x14ac:dyDescent="0.25">
      <c r="G28" s="2"/>
    </row>
    <row r="29" spans="2:10" x14ac:dyDescent="0.25">
      <c r="G29" s="2"/>
    </row>
    <row r="30" spans="2:10" x14ac:dyDescent="0.25">
      <c r="G30" s="2"/>
    </row>
    <row r="31" spans="2:10" x14ac:dyDescent="0.25">
      <c r="G31" s="2"/>
    </row>
    <row r="32" spans="2:10" x14ac:dyDescent="0.25">
      <c r="G32" s="2"/>
    </row>
    <row r="33" spans="7:9" x14ac:dyDescent="0.25">
      <c r="G33" s="2"/>
    </row>
    <row r="34" spans="7:9" x14ac:dyDescent="0.25">
      <c r="G34" s="2"/>
      <c r="H34" cm="1">
        <f t="array" ref="H34:I36">_xlfn.HSTACK(F18:F19,G18:G20)</f>
        <v>1</v>
      </c>
      <c r="I34">
        <v>0</v>
      </c>
    </row>
    <row r="35" spans="7:9" x14ac:dyDescent="0.25">
      <c r="G35" s="2"/>
      <c r="H35">
        <v>0</v>
      </c>
      <c r="I35">
        <v>1</v>
      </c>
    </row>
    <row r="36" spans="7:9" x14ac:dyDescent="0.25">
      <c r="G36" s="2"/>
      <c r="H36" t="e">
        <v>#N/A</v>
      </c>
      <c r="I36">
        <v>0</v>
      </c>
    </row>
    <row r="37" spans="7:9" x14ac:dyDescent="0.25">
      <c r="G37" s="2"/>
    </row>
    <row r="38" spans="7:9" x14ac:dyDescent="0.25">
      <c r="G38" s="2"/>
    </row>
    <row r="39" spans="7:9" x14ac:dyDescent="0.25">
      <c r="G39" s="2"/>
    </row>
    <row r="40" spans="7:9" x14ac:dyDescent="0.25">
      <c r="G40" s="2"/>
    </row>
    <row r="41" spans="7:9" x14ac:dyDescent="0.25">
      <c r="G41" s="2"/>
    </row>
    <row r="42" spans="7:9" x14ac:dyDescent="0.25">
      <c r="G42" s="2"/>
    </row>
    <row r="43" spans="7:9" x14ac:dyDescent="0.25">
      <c r="G43" s="2"/>
    </row>
    <row r="44" spans="7:9" x14ac:dyDescent="0.25">
      <c r="G44" s="2"/>
    </row>
    <row r="45" spans="7:9" x14ac:dyDescent="0.25">
      <c r="G45" s="2"/>
    </row>
    <row r="46" spans="7:9" x14ac:dyDescent="0.25">
      <c r="G46" s="2"/>
    </row>
    <row r="47" spans="7:9" x14ac:dyDescent="0.25">
      <c r="G47" s="2"/>
    </row>
    <row r="48" spans="7:9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17"/>
  <sheetViews>
    <sheetView showGridLines="0" tabSelected="1" topLeftCell="A95" zoomScale="85" zoomScaleNormal="85" workbookViewId="0">
      <selection activeCell="A118" sqref="A118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2" t="s">
        <v>67</v>
      </c>
      <c r="C4" s="25">
        <v>11</v>
      </c>
      <c r="D4" s="26">
        <v>-3</v>
      </c>
    </row>
    <row r="5" spans="2:5" x14ac:dyDescent="0.25">
      <c r="B5" s="23" t="s">
        <v>68</v>
      </c>
      <c r="C5">
        <v>3</v>
      </c>
      <c r="D5" s="27">
        <v>4</v>
      </c>
    </row>
    <row r="6" spans="2:5" x14ac:dyDescent="0.25">
      <c r="B6" s="23" t="s">
        <v>69</v>
      </c>
      <c r="C6" t="str">
        <f>COMPLEX(C4,C5)</f>
        <v>11+3i</v>
      </c>
      <c r="D6" s="27" t="str">
        <f>COMPLEX(D4,D5)</f>
        <v>-3+4i</v>
      </c>
    </row>
    <row r="7" spans="2:5" x14ac:dyDescent="0.25">
      <c r="B7" s="23" t="s">
        <v>76</v>
      </c>
      <c r="C7" t="str">
        <f>IMSUM(C6:D6)</f>
        <v>8+7i</v>
      </c>
      <c r="D7" s="27"/>
    </row>
    <row r="8" spans="2:5" x14ac:dyDescent="0.25">
      <c r="B8" s="23" t="s">
        <v>77</v>
      </c>
      <c r="C8" t="str">
        <f>IMSUB(C6,D6)</f>
        <v>14-i</v>
      </c>
      <c r="D8" s="27"/>
    </row>
    <row r="9" spans="2:5" x14ac:dyDescent="0.25">
      <c r="B9" s="23" t="s">
        <v>78</v>
      </c>
      <c r="C9" t="str">
        <f>IMPRODUCT(C6:D6)</f>
        <v>-45+35i</v>
      </c>
      <c r="D9" s="27"/>
    </row>
    <row r="10" spans="2:5" x14ac:dyDescent="0.25">
      <c r="B10" s="24" t="s">
        <v>79</v>
      </c>
      <c r="C10" s="28" t="str">
        <f>IMDIV(C6,D6)</f>
        <v>-0.84-2.12i</v>
      </c>
      <c r="D10" s="29"/>
    </row>
    <row r="12" spans="2:5" x14ac:dyDescent="0.25">
      <c r="B12" s="22" t="s">
        <v>67</v>
      </c>
      <c r="C12" s="30">
        <v>4</v>
      </c>
      <c r="D12" s="25"/>
      <c r="E12" s="26"/>
    </row>
    <row r="13" spans="2:5" x14ac:dyDescent="0.25">
      <c r="B13" s="23" t="s">
        <v>68</v>
      </c>
      <c r="C13" s="31">
        <v>5</v>
      </c>
      <c r="E13" s="27"/>
    </row>
    <row r="14" spans="2:5" x14ac:dyDescent="0.25">
      <c r="B14" s="23" t="s">
        <v>69</v>
      </c>
      <c r="C14" s="31" t="str">
        <f>COMPLEX(C12,C13)</f>
        <v>4+5i</v>
      </c>
      <c r="E14" s="27"/>
    </row>
    <row r="15" spans="2:5" x14ac:dyDescent="0.25">
      <c r="B15" s="23" t="s">
        <v>70</v>
      </c>
      <c r="C15" s="31" t="str">
        <f>IMCONJUGATE(C14)</f>
        <v>4-5i</v>
      </c>
      <c r="E15" s="27"/>
    </row>
    <row r="16" spans="2:5" x14ac:dyDescent="0.25">
      <c r="B16" s="23" t="s">
        <v>71</v>
      </c>
      <c r="C16" s="31" t="str">
        <f>IMSQRT(C14)</f>
        <v>2.2806933416653+1.09615788950152i</v>
      </c>
      <c r="E16" s="27"/>
    </row>
    <row r="17" spans="2:5" x14ac:dyDescent="0.25">
      <c r="B17" s="23" t="s">
        <v>72</v>
      </c>
      <c r="C17" s="31" t="str">
        <f>IMEXP(C14)</f>
        <v>15.4874305606508-52.355491418482i</v>
      </c>
      <c r="E17" s="27"/>
    </row>
    <row r="18" spans="2:5" x14ac:dyDescent="0.25">
      <c r="B18" s="24" t="s">
        <v>73</v>
      </c>
      <c r="C18" s="32" t="str">
        <f>IMLN(C14)</f>
        <v>1.85678603335215+0.896055384571344i</v>
      </c>
      <c r="D18" s="28"/>
      <c r="E18" s="29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3" t="s">
        <v>74</v>
      </c>
      <c r="C24" s="34" t="s">
        <v>80</v>
      </c>
      <c r="D24" s="34" t="s">
        <v>81</v>
      </c>
      <c r="E24" s="35" t="s">
        <v>59</v>
      </c>
    </row>
    <row r="25" spans="2:5" x14ac:dyDescent="0.25">
      <c r="B25" s="36">
        <v>3.5</v>
      </c>
      <c r="C25" s="37" cm="1">
        <f t="array" ref="C25">_xlfn.LAMBDA(_xlpm.x,2*_xlpm.x-7)(B25)</f>
        <v>0</v>
      </c>
      <c r="D25" s="37" cm="1">
        <f t="array" ref="D25">BRISTO.BISECT(_xlfn.LAMBDA(_xlpm.x,2*_xlpm.x-7),C25,-10,10)</f>
        <v>3.4999990463256836</v>
      </c>
      <c r="E25" s="38">
        <f>B25-D25</f>
        <v>9.5367431640625E-7</v>
      </c>
    </row>
    <row r="27" spans="2:5" x14ac:dyDescent="0.25">
      <c r="B27" s="33" t="s">
        <v>83</v>
      </c>
      <c r="C27" s="39"/>
      <c r="D27" s="40"/>
    </row>
    <row r="28" spans="2:5" x14ac:dyDescent="0.25">
      <c r="B28" s="41" cm="1">
        <f t="array" ref="B28">BRISTO.ROOT_SOLVER(_xlfn.LAMBDA(_xlpm.x,2*_xlpm.x-7),0)</f>
        <v>3.5</v>
      </c>
      <c r="C28" s="39"/>
      <c r="D28" s="40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3" t="s">
        <v>74</v>
      </c>
      <c r="C34" s="35" t="s">
        <v>75</v>
      </c>
    </row>
    <row r="35" spans="2:16" x14ac:dyDescent="0.25">
      <c r="B35" s="31" cm="1">
        <f t="array" ref="B35:B42">_xlfn.SEQUENCE(8,,,3)</f>
        <v>1</v>
      </c>
      <c r="C35" s="27" cm="1">
        <f t="array" ref="C35:C42">_xlfn.ANCHORARRAY(B35)*2+3+MOD(_xlfn.ANCHORARRAY(B35),2)*3.5</f>
        <v>8.5</v>
      </c>
      <c r="E35" s="3"/>
    </row>
    <row r="36" spans="2:16" x14ac:dyDescent="0.25">
      <c r="B36" s="31">
        <v>4</v>
      </c>
      <c r="C36" s="27">
        <v>11</v>
      </c>
      <c r="E36" s="3"/>
    </row>
    <row r="37" spans="2:16" x14ac:dyDescent="0.25">
      <c r="B37" s="31">
        <v>7</v>
      </c>
      <c r="C37" s="27">
        <v>20.5</v>
      </c>
      <c r="E37" s="3"/>
    </row>
    <row r="38" spans="2:16" x14ac:dyDescent="0.25">
      <c r="B38" s="31">
        <v>10</v>
      </c>
      <c r="C38" s="27">
        <v>23</v>
      </c>
      <c r="E38" s="3"/>
    </row>
    <row r="39" spans="2:16" x14ac:dyDescent="0.25">
      <c r="B39" s="31">
        <v>13</v>
      </c>
      <c r="C39" s="27">
        <v>32.5</v>
      </c>
      <c r="E39" s="3"/>
    </row>
    <row r="40" spans="2:16" x14ac:dyDescent="0.25">
      <c r="B40" s="31">
        <v>16</v>
      </c>
      <c r="C40" s="27">
        <v>35</v>
      </c>
      <c r="E40" s="3"/>
    </row>
    <row r="41" spans="2:16" x14ac:dyDescent="0.25">
      <c r="B41" s="31">
        <v>19</v>
      </c>
      <c r="C41" s="27">
        <v>44.5</v>
      </c>
      <c r="E41" s="3"/>
    </row>
    <row r="42" spans="2:16" x14ac:dyDescent="0.25">
      <c r="B42" s="32">
        <v>22</v>
      </c>
      <c r="C42" s="29">
        <v>47</v>
      </c>
      <c r="E42" s="3"/>
    </row>
    <row r="43" spans="2:16" x14ac:dyDescent="0.25">
      <c r="E43" s="11"/>
    </row>
    <row r="44" spans="2:16" x14ac:dyDescent="0.25">
      <c r="B44" s="48" t="s">
        <v>85</v>
      </c>
      <c r="C44" s="49" t="s">
        <v>90</v>
      </c>
      <c r="D44" s="49" t="s">
        <v>96</v>
      </c>
      <c r="E44" s="49" t="s">
        <v>97</v>
      </c>
      <c r="F44" s="49" t="s">
        <v>99</v>
      </c>
      <c r="G44" s="49" t="s">
        <v>100</v>
      </c>
      <c r="H44" s="49" t="s">
        <v>88</v>
      </c>
      <c r="I44" s="49" t="s">
        <v>86</v>
      </c>
      <c r="J44" s="49" t="s">
        <v>87</v>
      </c>
      <c r="K44" s="49" t="s">
        <v>94</v>
      </c>
      <c r="L44" s="49" t="s">
        <v>89</v>
      </c>
      <c r="M44" s="49" t="s">
        <v>98</v>
      </c>
      <c r="N44" s="49" t="s">
        <v>101</v>
      </c>
      <c r="O44" s="49" t="s">
        <v>103</v>
      </c>
      <c r="P44" s="50" t="s">
        <v>102</v>
      </c>
    </row>
    <row r="45" spans="2:16" x14ac:dyDescent="0.25">
      <c r="B45" s="42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3">
        <v>1.1828571428571406</v>
      </c>
    </row>
    <row r="46" spans="2:16" x14ac:dyDescent="0.25">
      <c r="B46" s="44">
        <v>1.9444444444444446</v>
      </c>
      <c r="C46" s="45">
        <v>0.10143010324169743</v>
      </c>
      <c r="D46" s="45">
        <v>19.170289512680814</v>
      </c>
      <c r="E46" s="45">
        <v>1.303363892642445E-6</v>
      </c>
      <c r="F46" s="45">
        <v>1.6962539227594775</v>
      </c>
      <c r="G46" s="45">
        <v>2.192634966129412</v>
      </c>
      <c r="H46" s="45" t="e">
        <v>#N/A</v>
      </c>
      <c r="I46" s="45" t="e">
        <v>#N/A</v>
      </c>
      <c r="J46" s="45" t="e">
        <v>#N/A</v>
      </c>
      <c r="K46" s="45" t="e">
        <v>#N/A</v>
      </c>
      <c r="L46" s="45" t="e">
        <v>#N/A</v>
      </c>
      <c r="M46" s="45" t="e">
        <v>#N/A</v>
      </c>
      <c r="N46" s="45" t="e">
        <v>#N/A</v>
      </c>
      <c r="O46" s="45" t="e">
        <v>#N/A</v>
      </c>
      <c r="P46" s="46" t="e">
        <v>#N/A</v>
      </c>
    </row>
    <row r="48" spans="2:16" x14ac:dyDescent="0.25">
      <c r="B48" s="33" t="s">
        <v>74</v>
      </c>
      <c r="C48" s="35" t="s">
        <v>104</v>
      </c>
    </row>
    <row r="49" spans="2:10" x14ac:dyDescent="0.25">
      <c r="B49" s="31" cm="1">
        <f t="array" ref="B49:B70">_xlfn.SEQUENCE(22)</f>
        <v>1</v>
      </c>
      <c r="C49" s="27" cm="1">
        <f t="array" ref="C49:C70">_xlfn.ANCHORARRAY(B49)*B46+B45</f>
        <v>7.3333333333333446</v>
      </c>
    </row>
    <row r="50" spans="2:10" x14ac:dyDescent="0.25">
      <c r="B50" s="31">
        <v>2</v>
      </c>
      <c r="C50" s="27">
        <v>9.2777777777777892</v>
      </c>
    </row>
    <row r="51" spans="2:10" x14ac:dyDescent="0.25">
      <c r="B51" s="31">
        <v>3</v>
      </c>
      <c r="C51" s="27">
        <v>11.222222222222234</v>
      </c>
    </row>
    <row r="52" spans="2:10" x14ac:dyDescent="0.25">
      <c r="B52" s="31">
        <v>4</v>
      </c>
      <c r="C52" s="27">
        <v>13.166666666666679</v>
      </c>
    </row>
    <row r="53" spans="2:10" x14ac:dyDescent="0.25">
      <c r="B53" s="31">
        <v>5</v>
      </c>
      <c r="C53" s="27">
        <v>15.111111111111123</v>
      </c>
    </row>
    <row r="54" spans="2:10" x14ac:dyDescent="0.25">
      <c r="B54" s="31">
        <v>6</v>
      </c>
      <c r="C54" s="27">
        <v>17.055555555555568</v>
      </c>
    </row>
    <row r="55" spans="2:10" x14ac:dyDescent="0.25">
      <c r="B55" s="31">
        <v>7</v>
      </c>
      <c r="C55" s="27">
        <v>19.000000000000014</v>
      </c>
    </row>
    <row r="56" spans="2:10" x14ac:dyDescent="0.25">
      <c r="B56" s="31">
        <v>8</v>
      </c>
      <c r="C56" s="27">
        <v>20.944444444444457</v>
      </c>
    </row>
    <row r="57" spans="2:10" x14ac:dyDescent="0.25">
      <c r="B57" s="31">
        <v>9</v>
      </c>
      <c r="C57" s="27">
        <v>22.8888888888889</v>
      </c>
    </row>
    <row r="58" spans="2:10" x14ac:dyDescent="0.25">
      <c r="B58" s="31">
        <v>10</v>
      </c>
      <c r="C58" s="27">
        <v>24.833333333333346</v>
      </c>
    </row>
    <row r="59" spans="2:10" x14ac:dyDescent="0.25">
      <c r="B59" s="31">
        <v>11</v>
      </c>
      <c r="C59" s="27">
        <v>26.777777777777793</v>
      </c>
    </row>
    <row r="60" spans="2:10" x14ac:dyDescent="0.25">
      <c r="B60" s="31">
        <v>12</v>
      </c>
      <c r="C60" s="27">
        <v>28.722222222222236</v>
      </c>
    </row>
    <row r="61" spans="2:10" x14ac:dyDescent="0.25">
      <c r="B61" s="31">
        <v>13</v>
      </c>
      <c r="C61" s="27">
        <v>30.666666666666679</v>
      </c>
      <c r="F61" s="14"/>
      <c r="G61" s="14"/>
      <c r="H61" s="14"/>
      <c r="I61" s="14"/>
      <c r="J61" s="14"/>
    </row>
    <row r="62" spans="2:10" x14ac:dyDescent="0.25">
      <c r="B62" s="31">
        <v>14</v>
      </c>
      <c r="C62" s="27">
        <v>32.611111111111128</v>
      </c>
      <c r="E62" s="14"/>
    </row>
    <row r="63" spans="2:10" x14ac:dyDescent="0.25">
      <c r="B63" s="31">
        <v>15</v>
      </c>
      <c r="C63" s="27">
        <v>34.555555555555571</v>
      </c>
      <c r="E63" s="14"/>
    </row>
    <row r="64" spans="2:10" x14ac:dyDescent="0.25">
      <c r="B64" s="31">
        <v>16</v>
      </c>
      <c r="C64" s="27">
        <v>36.500000000000014</v>
      </c>
      <c r="E64" s="14"/>
    </row>
    <row r="65" spans="2:10" x14ac:dyDescent="0.25">
      <c r="B65" s="31">
        <v>17</v>
      </c>
      <c r="C65" s="27">
        <v>38.444444444444457</v>
      </c>
    </row>
    <row r="66" spans="2:10" x14ac:dyDescent="0.25">
      <c r="B66" s="31">
        <v>18</v>
      </c>
      <c r="C66" s="27">
        <v>40.3888888888889</v>
      </c>
    </row>
    <row r="67" spans="2:10" x14ac:dyDescent="0.25">
      <c r="B67" s="31">
        <v>19</v>
      </c>
      <c r="C67" s="27">
        <v>42.33333333333335</v>
      </c>
      <c r="F67" s="14"/>
      <c r="G67" s="14"/>
      <c r="H67" s="14"/>
      <c r="I67" s="14"/>
      <c r="J67" s="14"/>
    </row>
    <row r="68" spans="2:10" x14ac:dyDescent="0.25">
      <c r="B68" s="31">
        <v>20</v>
      </c>
      <c r="C68" s="27">
        <v>44.277777777777793</v>
      </c>
      <c r="E68" s="14"/>
    </row>
    <row r="69" spans="2:10" x14ac:dyDescent="0.25">
      <c r="B69" s="31">
        <v>21</v>
      </c>
      <c r="C69" s="27">
        <v>46.222222222222236</v>
      </c>
      <c r="E69" s="14"/>
    </row>
    <row r="70" spans="2:10" x14ac:dyDescent="0.25">
      <c r="B70" s="32">
        <v>22</v>
      </c>
      <c r="C70" s="29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3" t="s">
        <v>95</v>
      </c>
      <c r="C74" s="47" t="s">
        <v>75</v>
      </c>
      <c r="D74" s="34" t="s">
        <v>105</v>
      </c>
      <c r="E74" s="34" t="s">
        <v>106</v>
      </c>
      <c r="F74" s="34" t="s">
        <v>107</v>
      </c>
      <c r="G74" s="34" t="s">
        <v>108</v>
      </c>
      <c r="H74" s="35" t="s">
        <v>109</v>
      </c>
    </row>
    <row r="75" spans="2:10" x14ac:dyDescent="0.25">
      <c r="B75" s="31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7">
        <v>34.03</v>
      </c>
    </row>
    <row r="76" spans="2:10" x14ac:dyDescent="0.25">
      <c r="B76" s="31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7">
        <v>16.760000000000002</v>
      </c>
    </row>
    <row r="77" spans="2:10" x14ac:dyDescent="0.25">
      <c r="B77" s="31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7">
        <v>19.989999999999998</v>
      </c>
    </row>
    <row r="78" spans="2:10" x14ac:dyDescent="0.25">
      <c r="B78" s="31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7">
        <v>38.76</v>
      </c>
    </row>
    <row r="79" spans="2:10" x14ac:dyDescent="0.25">
      <c r="B79" s="31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7">
        <v>35.590000000000003</v>
      </c>
    </row>
    <row r="80" spans="2:10" x14ac:dyDescent="0.25">
      <c r="B80" s="31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7">
        <v>24.01</v>
      </c>
    </row>
    <row r="81" spans="2:20" x14ac:dyDescent="0.25">
      <c r="B81" s="31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7">
        <v>54.9</v>
      </c>
    </row>
    <row r="82" spans="2:20" x14ac:dyDescent="0.25">
      <c r="B82" s="31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7">
        <v>60.17</v>
      </c>
      <c r="S82" s="3"/>
      <c r="T82" s="19"/>
    </row>
    <row r="83" spans="2:20" x14ac:dyDescent="0.25">
      <c r="B83" s="31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7">
        <v>70.33</v>
      </c>
      <c r="S83" s="3"/>
      <c r="T83" s="19"/>
    </row>
    <row r="84" spans="2:20" x14ac:dyDescent="0.25">
      <c r="B84" s="31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7">
        <v>45.87</v>
      </c>
      <c r="S84" s="3"/>
      <c r="T84" s="19"/>
    </row>
    <row r="85" spans="2:20" x14ac:dyDescent="0.25">
      <c r="B85" s="31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7">
        <v>34.18</v>
      </c>
      <c r="S85" s="3"/>
      <c r="T85" s="19"/>
    </row>
    <row r="86" spans="2:20" x14ac:dyDescent="0.25">
      <c r="B86" s="31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7">
        <v>10.54</v>
      </c>
      <c r="S86" s="3"/>
      <c r="T86" s="19"/>
    </row>
    <row r="87" spans="2:20" x14ac:dyDescent="0.25">
      <c r="B87" s="31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7">
        <v>12.44</v>
      </c>
      <c r="S87" s="3"/>
      <c r="T87" s="19"/>
    </row>
    <row r="88" spans="2:20" x14ac:dyDescent="0.25">
      <c r="B88" s="31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7">
        <v>42.65</v>
      </c>
      <c r="S88" s="3"/>
      <c r="T88" s="19"/>
    </row>
    <row r="89" spans="2:20" x14ac:dyDescent="0.25">
      <c r="B89" s="31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7">
        <v>36.659999999999997</v>
      </c>
      <c r="S89" s="3"/>
      <c r="T89" s="19"/>
    </row>
    <row r="90" spans="2:20" x14ac:dyDescent="0.25">
      <c r="B90" s="32">
        <v>2</v>
      </c>
      <c r="C90" s="37">
        <v>27.91</v>
      </c>
      <c r="D90" s="28">
        <v>31.67</v>
      </c>
      <c r="E90" s="28">
        <v>1.05</v>
      </c>
      <c r="F90" s="28">
        <v>32.65</v>
      </c>
      <c r="G90" s="28">
        <v>-28.44</v>
      </c>
      <c r="H90" s="29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8" t="s">
        <v>85</v>
      </c>
      <c r="C92" s="49" t="s">
        <v>90</v>
      </c>
      <c r="D92" s="49" t="s">
        <v>96</v>
      </c>
      <c r="E92" s="49" t="s">
        <v>97</v>
      </c>
      <c r="F92" s="49" t="s">
        <v>99</v>
      </c>
      <c r="G92" s="49" t="s">
        <v>100</v>
      </c>
      <c r="H92" s="49" t="s">
        <v>88</v>
      </c>
      <c r="I92" s="49" t="s">
        <v>86</v>
      </c>
      <c r="J92" s="49" t="s">
        <v>87</v>
      </c>
      <c r="K92" s="49" t="s">
        <v>94</v>
      </c>
      <c r="L92" s="49" t="s">
        <v>89</v>
      </c>
      <c r="M92" s="49" t="s">
        <v>98</v>
      </c>
      <c r="N92" s="49" t="s">
        <v>101</v>
      </c>
      <c r="O92" s="49" t="s">
        <v>103</v>
      </c>
      <c r="P92" s="50" t="s">
        <v>102</v>
      </c>
      <c r="S92" s="3"/>
      <c r="T92" s="19"/>
    </row>
    <row r="93" spans="2:20" x14ac:dyDescent="0.25">
      <c r="B93" s="42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3">
        <v>2.6728669640443008</v>
      </c>
      <c r="S93" s="3"/>
      <c r="T93" s="19"/>
    </row>
    <row r="94" spans="2:20" x14ac:dyDescent="0.25">
      <c r="B94" s="42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3" t="e">
        <v>#N/A</v>
      </c>
      <c r="S94" s="3"/>
      <c r="T94" s="19"/>
    </row>
    <row r="95" spans="2:20" x14ac:dyDescent="0.25">
      <c r="B95" s="42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3" t="e">
        <v>#N/A</v>
      </c>
      <c r="S95" s="3"/>
      <c r="T95" s="19"/>
    </row>
    <row r="96" spans="2:20" x14ac:dyDescent="0.25">
      <c r="B96" s="42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3" t="e">
        <v>#N/A</v>
      </c>
      <c r="S96" s="3"/>
      <c r="T96" s="19"/>
    </row>
    <row r="97" spans="2:22" x14ac:dyDescent="0.25">
      <c r="B97" s="42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3" t="e">
        <v>#N/A</v>
      </c>
      <c r="T97" s="19"/>
    </row>
    <row r="98" spans="2:22" x14ac:dyDescent="0.25">
      <c r="B98" s="44">
        <v>-0.21926020720252382</v>
      </c>
      <c r="C98" s="45">
        <v>0.21433201914663699</v>
      </c>
      <c r="D98" s="45">
        <v>-1.0229932423326593</v>
      </c>
      <c r="E98" s="45">
        <v>0.33042120410646814</v>
      </c>
      <c r="F98" s="45">
        <v>-0.6968217062878117</v>
      </c>
      <c r="G98" s="45">
        <v>0.25830129188276413</v>
      </c>
      <c r="H98" s="45" t="e">
        <v>#N/A</v>
      </c>
      <c r="I98" s="45" t="e">
        <v>#N/A</v>
      </c>
      <c r="J98" s="45" t="e">
        <v>#N/A</v>
      </c>
      <c r="K98" s="45" t="e">
        <v>#N/A</v>
      </c>
      <c r="L98" s="45" t="e">
        <v>#N/A</v>
      </c>
      <c r="M98" s="45" t="e">
        <v>#N/A</v>
      </c>
      <c r="N98" s="45" t="e">
        <v>#N/A</v>
      </c>
      <c r="O98" s="45" t="e">
        <v>#N/A</v>
      </c>
      <c r="P98" s="46" t="e">
        <v>#N/A</v>
      </c>
    </row>
    <row r="99" spans="2:22" x14ac:dyDescent="0.25">
      <c r="R99" s="21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5" t="s">
        <v>105</v>
      </c>
      <c r="C103" s="51" t="s">
        <v>118</v>
      </c>
      <c r="F103" s="33" t="s">
        <v>117</v>
      </c>
      <c r="G103" s="47" t="s">
        <v>105</v>
      </c>
      <c r="H103" s="51" t="s">
        <v>118</v>
      </c>
      <c r="M103" s="3"/>
      <c r="N103" s="3"/>
      <c r="O103" s="3"/>
    </row>
    <row r="104" spans="2:22" x14ac:dyDescent="0.25">
      <c r="B104" s="36">
        <v>10000</v>
      </c>
      <c r="C104" s="38">
        <v>10000</v>
      </c>
      <c r="F104" s="54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2">
        <v>3.0000062322743464</v>
      </c>
      <c r="H104" s="53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3" t="s">
        <v>105</v>
      </c>
      <c r="C106" s="34" t="s">
        <v>118</v>
      </c>
      <c r="D106" s="51" t="s">
        <v>107</v>
      </c>
      <c r="F106" s="33" t="s">
        <v>117</v>
      </c>
      <c r="G106" s="47" t="s">
        <v>105</v>
      </c>
      <c r="H106" s="47" t="s">
        <v>118</v>
      </c>
      <c r="I106" s="51" t="s">
        <v>107</v>
      </c>
      <c r="M106" s="10"/>
      <c r="N106" s="3"/>
      <c r="O106" s="3"/>
    </row>
    <row r="107" spans="2:22" x14ac:dyDescent="0.25">
      <c r="B107" s="36">
        <v>10000</v>
      </c>
      <c r="C107" s="37">
        <v>10000</v>
      </c>
      <c r="D107" s="38">
        <v>10000</v>
      </c>
      <c r="F107" s="54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2">
        <v>9.9999893224415892</v>
      </c>
      <c r="H107" s="52">
        <v>-10.000001607751738</v>
      </c>
      <c r="I107" s="53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125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3" t="s">
        <v>126</v>
      </c>
      <c r="C112" s="39"/>
      <c r="D112" s="39"/>
      <c r="E112" s="40"/>
      <c r="G112" s="61" t="s">
        <v>123</v>
      </c>
      <c r="I112" s="61" t="s">
        <v>74</v>
      </c>
      <c r="M112" s="10"/>
      <c r="N112" s="3"/>
      <c r="O112" s="3"/>
    </row>
    <row r="113" spans="2:17" x14ac:dyDescent="0.25">
      <c r="B113" s="30">
        <v>2</v>
      </c>
      <c r="C113" s="25">
        <v>-1</v>
      </c>
      <c r="D113" s="25">
        <v>0</v>
      </c>
      <c r="E113" s="26">
        <v>0</v>
      </c>
      <c r="F113" s="3"/>
      <c r="G113" s="58">
        <v>0</v>
      </c>
      <c r="I113" s="62" cm="1">
        <f t="array" ref="I113:I116">BRISTO.TRI_DIAG_THOMAS(B113:E116,G113:G116)</f>
        <v>0.99999999999999933</v>
      </c>
      <c r="M113" s="10"/>
      <c r="N113" s="3"/>
      <c r="O113" s="3"/>
    </row>
    <row r="114" spans="2:17" x14ac:dyDescent="0.25">
      <c r="B114" s="31">
        <v>-1</v>
      </c>
      <c r="C114" s="57">
        <v>2</v>
      </c>
      <c r="D114" s="57">
        <v>-1</v>
      </c>
      <c r="E114" s="27">
        <v>0</v>
      </c>
      <c r="F114" s="3"/>
      <c r="G114" s="59">
        <v>0</v>
      </c>
      <c r="I114" s="62">
        <v>1.9999999999999987</v>
      </c>
      <c r="M114" s="10"/>
      <c r="N114" s="3"/>
      <c r="O114" s="3"/>
    </row>
    <row r="115" spans="2:17" x14ac:dyDescent="0.25">
      <c r="B115" s="31">
        <v>0</v>
      </c>
      <c r="C115" s="57">
        <v>-1</v>
      </c>
      <c r="D115" s="57">
        <v>2</v>
      </c>
      <c r="E115" s="27">
        <v>-1</v>
      </c>
      <c r="F115" s="3"/>
      <c r="G115" s="59">
        <v>1</v>
      </c>
      <c r="I115" s="62">
        <v>2.9999999999999982</v>
      </c>
      <c r="M115" s="10"/>
      <c r="N115" s="3"/>
      <c r="O115" s="3"/>
    </row>
    <row r="116" spans="2:17" x14ac:dyDescent="0.25">
      <c r="B116" s="32">
        <v>0</v>
      </c>
      <c r="C116" s="28">
        <v>0</v>
      </c>
      <c r="D116" s="28">
        <v>-1</v>
      </c>
      <c r="E116" s="29">
        <v>1</v>
      </c>
      <c r="F116" s="3"/>
      <c r="G116" s="60">
        <v>0</v>
      </c>
      <c r="I116" s="63">
        <v>2.9999999999999982</v>
      </c>
      <c r="M116" s="10"/>
      <c r="N116" s="3"/>
      <c r="O116" s="3"/>
    </row>
    <row r="117" spans="2:17" x14ac:dyDescent="0.25">
      <c r="M117" s="10"/>
      <c r="N117" s="3"/>
      <c r="O117" s="3"/>
    </row>
    <row r="118" spans="2:17" x14ac:dyDescent="0.25">
      <c r="M118" s="10"/>
      <c r="N118" s="3"/>
      <c r="O118" s="3"/>
    </row>
    <row r="119" spans="2:17" x14ac:dyDescent="0.25">
      <c r="B119" s="14" t="s">
        <v>119</v>
      </c>
      <c r="M119" s="10"/>
      <c r="N119" s="3"/>
      <c r="O119" s="3"/>
    </row>
    <row r="120" spans="2:17" x14ac:dyDescent="0.25">
      <c r="B120" s="3"/>
      <c r="C120" s="3"/>
      <c r="D120" s="3"/>
      <c r="E120" s="3"/>
      <c r="F120" s="3"/>
      <c r="M120" s="10"/>
      <c r="N120" s="3"/>
      <c r="O120" s="3"/>
    </row>
    <row r="121" spans="2:17" x14ac:dyDescent="0.25">
      <c r="B121" s="3" t="s">
        <v>120</v>
      </c>
      <c r="C121" s="3" t="s">
        <v>121</v>
      </c>
      <c r="D121" s="3"/>
      <c r="E121" s="3"/>
      <c r="F121" s="3" t="s">
        <v>74</v>
      </c>
      <c r="G121" s="3" t="s">
        <v>122</v>
      </c>
      <c r="M121" s="10"/>
      <c r="N121" s="3"/>
      <c r="O121" s="3"/>
    </row>
    <row r="122" spans="2:17" x14ac:dyDescent="0.25">
      <c r="B122" s="3" cm="1">
        <f t="array" ref="B122:B130">_xlfn.SEQUENCE(9)</f>
        <v>1</v>
      </c>
      <c r="C122" s="3">
        <v>0.4</v>
      </c>
      <c r="D122" s="3"/>
      <c r="E122" s="3"/>
      <c r="F122" s="3" cm="1">
        <f t="array" ref="F122:F210">_xlfn.SEQUENCE(89,,1,0.1)</f>
        <v>1</v>
      </c>
      <c r="G122" s="3" cm="1">
        <f t="array" ref="G122:G210">_xlfn.LAMBDA(_xlpm.known_x,_xlpm.known_y,_xlpm.x_target,
    _xlfn.LET(
        _xlpm.n, COUNT(_xlpm.known_x),
        _xlpm.h, _xlfn.DROP(_xlpm.known_x, 1) - _xlfn.DROP(_xlpm.known_x, -1),
        _xlpm.dy, _xlfn.DROP(_xlpm.known_y, 1) - _xlfn.DROP(_xlpm.known_y, -1),
        _xlpm.slope, _xlpm.dy / _xlpm.h,
        _xlpm.a, _xlfn.MAKEARRAY(_xlpm.n, _xlpm.n, _xlfn.LAMBDA(_xlpm.r,_xlpm.c,
            IF(_xlpm.r = _xlpm.c,
                IF(OR(_xlpm.r=1, _xlpm.r=_xlpm.n), 1, 2 * (INDEX(_xlpm.h, _xlpm.r-1) + INDEX(_xlpm.h, _xlpm.r))),
                IF(AND(_xlpm.r=_xlpm.c+1, _xlpm.r&gt;1), INDEX(_xlpm.h, _xlpm.r-1),
                IF(AND(_xlpm.r=_xlpm.c-1, _xlpm.r&lt;_xlpm.n), INDEX(_xlpm.h, _xlpm.r), 0))
            )
        )),
        _xlpm.b, _xlfn.MAKEARRAY(_xlpm.n, 1, _xlfn.LAMBDA(_xlpm.r,_xlpm.c,
            IF(OR(_xlpm.r=1, _xlpm.r=_xlpm.n), 0, 3 * (INDEX(_xlpm.slope, _xlpm.r) - INDEX(_xlpm.slope, _xlpm.r-1)))
        )),
        _xlpm.K,MMULT(MINVERSE(_xlpm.a), _xlpm.b),
        _xlpm.idx, MATCH(_xlpm.x_target, _xlpm.known_x, 1),
        _xlpm.i, IF(_xlpm.idx &gt;= _xlpm.n, _xlpm.n - 1, _xlpm.idx),
        _xlpm.dx, _xlpm.x_target - INDEX(_xlpm.known_x, _xlpm.i),
        _xlpm.hi, INDEX(_xlpm.h, _xlpm.i),
        _xlpm.ki, INDEX(_xlpm.K, _xlpm.i),
        _xlpm.ki_1, INDEX(_xlpm.K, _xlpm.i+1),
        _xlpm.yi, INDEX(_xlpm.known_y, _xlpm.i),
        _xlpm.yi_1, INDEX(_xlpm.known_y, _xlpm.i+1),
        _xlpm.a_min, (_xlpm.ki_1 - _xlpm.ki) / (6 * _xlpm.hi),
        _xlpm.b_min, _xlpm.ki / 2,
        _xlpm.c_min, (_xlpm.yi_1 - _xlpm.yi) / _xlpm.hi - _xlpm.hi * (_xlpm.ki_1 + 2 * _xlpm.ki) / 6,
        _xlpm.d_min, _xlpm.yi,
        _xlpm.a_min*_xlpm.dx^3 + _xlpm.b_min*_xlpm.dx^2 + _xlpm.c_min*_xlpm.dx + _xlpm.d_min
    )
)(_xlfn.ANCHORARRAY(B122),C122:C130,_xlfn.ANCHORARRAY(F122))</f>
        <v>0.4</v>
      </c>
      <c r="H122" s="13" cm="1">
        <f t="array" ref="H122:H210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SOLVE_TRIDIAG (Thomas Algorithm) ----",
        _xlpm.SOLVE_TRIDIAG, _xlfn.LAMBDA(_xlpm.a,_xlpm.b,_xlpm.c,_xlpm.d,
            _xlfn.LET(
                _xlpm.n_trid, ROWS(_xlpm.d),
                _xlpm.sweep, _xlfn.REDUCE(_xlfn.HSTACK(INDEX(_xlpm.c, 1) / INDEX(_xlpm.b, 1), INDEX(_xlpm.d, 1) / INDEX(_xlpm.b, 1)), _xlfn.SEQUENCE(_xlpm.n_trid - 1, 1, 2),
                    _xlfn.LAMBDA(_xlpm.acc,_xlpm.i,
                        _xlfn.LET(
                            _xlpm.cp_p, INDEX(_xlpm.acc, ROWS(_xlpm.acc), 1),
                            _xlpm.dp_p, INDEX(_xlpm.acc, ROWS(_xlpm.acc), 2),
                            _xlpm.den, INDEX(_xlpm.b, _xlpm.i) - INDEX(_xlpm.a, _xlpm.i) * _xlpm.cp_p,
                            _xlpm.cp, IF(_xlpm.i = _xlpm.n_trid, 0, INDEX(_xlpm.c, _xlpm.i) / _xlpm.den),
                            _xlpm.dp, (INDEX(_xlpm.d, _xlpm.i) - INDEX(_xlpm.a, _xlpm.i) * _xlpm.dp_p) / _xlpm.den,
                            _xlfn.VSTACK(_xlpm.acc, _xlfn.HSTACK(_xlpm.cp, _xlpm.dp))
                        )
                    )
                ),
                _xlfn.REDUCE(INDEX(_xlpm.sweep, _xlpm.n_trid, 2), _xlfn.SEQUENCE(_xlpm.n_trid - 1, 1, _xlpm.n_trid - 1, -1),
                    _xlfn.LAMBDA(_xlpm.acc,_xlpm.i, _xlfn.VSTACK(INDEX(_xlpm.sweep, _xlpm.i, 2) - INDEX(_xlpm.sweep, _xlpm.i, 1) * INDEX(_xlpm.acc, 1), _xlpm.acc))
                )
            )
        ),
        _xlpm.REM_3,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6 * (_xlfn.DROP(_xlpm.slope, 1) - _xlfn.DROP(_xlpm.slope, -1)), 0),
        _xlpm.REM_4, "---- Calculate Second Derivatives (M) ----",
        _xlpm.m, _xlpm.SOLVE_TRIDIAG(_xlpm.diag_a, _xlpm.diag_b, _xlpm.diag_c, _xlpm.vec_d),
        _xlpm.rem_5, "---- Find Segment for x_target ----",
        _xlpm.idx, MATCH(_xlpm.x_target, _xlpm.known_x, 1),
        _xlpm.i, IF(_xlpm.idx &gt;= _xlpm.n, _xlpm.n - 1, IF(_xlpm.idx &lt; 1, 1, _xlpm.idx)),
        _xlpm.rem_6, "---- Local Variables ----",
        _xlpm.h_i, INDEX(_xlpm.h, _xlpm.i),
        _xlpm.y_i, INDEX(_xlpm.known_y, _xlpm.i),
        _xlpm.y_i_1, INDEX(_xlpm.known_y, _xlpm.i + 1),
        _xlpm.M_i, INDEX(_xlpm.m, _xlpm.i),
        _xlpm.M_i_1, INDEX(_xlpm.m, _xlpm.i + 1),
        _xlpm.dx, _xlpm.x_target - INDEX(_xlpm.known_x, _xlpm.i),
        _xlpm.rem_7, "---- Explicit Polynomial Coefficients (a, b, c, d) ----",
        _xlpm.coeff_a, (_xlpm.M_i_1 - _xlpm.M_i) / (6 * _xlpm.h_i),
        _xlpm.coeff_b, _xlpm.M_i / 2,
        _xlpm.coeff_c, (_xlpm.y_i_1 - _xlpm.y_i) / _xlpm.h_i - (_xlpm.h_i * (_xlpm.M_i_1 + 2 * _xlpm.M_i) / 6),
        _xlpm.coeff_d, _xlpm.y_i,
        _xlpm.rem_8, "---- Calculation using a*dx^3 + b*dx^2 + c*dx + d ----",
        _xlpm.result, _xlpm.coeff_a * _xlpm.dx^3 + _xlpm.coeff_b * _xlpm.dx^2 + _xlpm.coeff_c * _xlpm.dx + _xlpm.coeff_d,
        _xlpm.result
    )
)(_xlfn.ANCHORARRAY(B122),C122:C130,_xlfn.ANCHORARRAY(F122))</f>
        <v>0.4</v>
      </c>
      <c r="M122" s="10"/>
      <c r="N122" s="3"/>
      <c r="O122" s="3"/>
    </row>
    <row r="123" spans="2:17" x14ac:dyDescent="0.25">
      <c r="B123" s="3">
        <v>2</v>
      </c>
      <c r="C123" s="3">
        <v>0.5</v>
      </c>
      <c r="D123" s="3"/>
      <c r="E123" s="3"/>
      <c r="F123" s="3">
        <v>1.1000000000000001</v>
      </c>
      <c r="G123" s="3">
        <v>0.41542906217794573</v>
      </c>
      <c r="H123" s="13">
        <v>0.39906935751104566</v>
      </c>
      <c r="M123" s="10"/>
      <c r="N123" s="3"/>
      <c r="O123" s="3"/>
    </row>
    <row r="124" spans="2:17" x14ac:dyDescent="0.25">
      <c r="B124" s="3">
        <v>3</v>
      </c>
      <c r="C124" s="3">
        <v>0.8</v>
      </c>
      <c r="D124" s="3"/>
      <c r="E124" s="3"/>
      <c r="F124" s="3">
        <v>1.2000000000000002</v>
      </c>
      <c r="G124" s="3">
        <v>0.42723874957059432</v>
      </c>
      <c r="H124" s="13">
        <v>0.39880117820324007</v>
      </c>
      <c r="M124" s="10"/>
      <c r="N124" s="3"/>
      <c r="O124" s="3"/>
      <c r="P124" s="3"/>
      <c r="Q124" s="3"/>
    </row>
    <row r="125" spans="2:17" x14ac:dyDescent="0.25">
      <c r="B125" s="3">
        <v>4</v>
      </c>
      <c r="C125" s="3">
        <v>0.4</v>
      </c>
      <c r="D125" s="3"/>
      <c r="E125" s="3"/>
      <c r="F125" s="3">
        <v>1.3000000000000003</v>
      </c>
      <c r="G125" s="3">
        <v>0.43633390587427007</v>
      </c>
      <c r="H125" s="13">
        <v>0.39985792525773195</v>
      </c>
      <c r="M125" s="10"/>
      <c r="N125" s="3"/>
      <c r="O125" s="3"/>
      <c r="P125" s="3"/>
      <c r="Q125" s="3"/>
    </row>
    <row r="126" spans="2:17" x14ac:dyDescent="0.25">
      <c r="B126" s="3">
        <v>5</v>
      </c>
      <c r="C126" s="3">
        <v>0.3</v>
      </c>
      <c r="D126" s="3"/>
      <c r="E126" s="3"/>
      <c r="F126" s="3">
        <v>1.4000000000000004</v>
      </c>
      <c r="G126" s="3">
        <v>0.44361937478529717</v>
      </c>
      <c r="H126" s="13">
        <v>0.40290206185567012</v>
      </c>
      <c r="M126" s="10"/>
      <c r="N126" s="3"/>
      <c r="O126" s="3"/>
      <c r="P126" s="3"/>
      <c r="Q126" s="3"/>
    </row>
    <row r="127" spans="2:17" x14ac:dyDescent="0.25">
      <c r="B127" s="3">
        <v>6</v>
      </c>
      <c r="C127" s="3">
        <v>0.1</v>
      </c>
      <c r="D127" s="3"/>
      <c r="E127" s="3"/>
      <c r="F127" s="3">
        <v>1.5000000000000004</v>
      </c>
      <c r="G127" s="3">
        <v>0.45000000000000007</v>
      </c>
      <c r="H127" s="13">
        <v>0.4085960511782033</v>
      </c>
      <c r="M127" s="10"/>
      <c r="N127" s="3"/>
      <c r="O127" s="3"/>
      <c r="P127" s="3"/>
      <c r="Q127" s="3"/>
    </row>
    <row r="128" spans="2:17" x14ac:dyDescent="0.25">
      <c r="B128" s="3">
        <v>7</v>
      </c>
      <c r="C128" s="3">
        <v>0.2</v>
      </c>
      <c r="F128" s="3">
        <v>1.6000000000000005</v>
      </c>
      <c r="G128" s="3">
        <v>0.45638062521470291</v>
      </c>
      <c r="H128" s="13">
        <v>0.41760235640648019</v>
      </c>
      <c r="M128" s="10"/>
      <c r="N128" s="3"/>
      <c r="O128" s="3"/>
    </row>
    <row r="129" spans="2:10" x14ac:dyDescent="0.25">
      <c r="B129" s="3">
        <v>8</v>
      </c>
      <c r="C129" s="3">
        <v>0.6</v>
      </c>
      <c r="F129" s="3">
        <v>1.7000000000000006</v>
      </c>
      <c r="G129" s="3">
        <v>0.46366609412573001</v>
      </c>
      <c r="H129" s="13">
        <v>0.43058344072164956</v>
      </c>
    </row>
    <row r="130" spans="2:10" x14ac:dyDescent="0.25">
      <c r="B130" s="3">
        <v>9</v>
      </c>
      <c r="C130" s="3">
        <v>0.7</v>
      </c>
      <c r="F130" s="3">
        <v>1.8000000000000007</v>
      </c>
      <c r="G130" s="3">
        <v>0.47276125042940581</v>
      </c>
      <c r="H130" s="13">
        <v>0.44820176730486022</v>
      </c>
    </row>
    <row r="131" spans="2:10" x14ac:dyDescent="0.25">
      <c r="F131" s="3">
        <v>1.9000000000000008</v>
      </c>
      <c r="G131" s="3">
        <v>0.4845709378220544</v>
      </c>
      <c r="H131" s="13">
        <v>0.47111979933726089</v>
      </c>
    </row>
    <row r="132" spans="2:10" x14ac:dyDescent="0.25">
      <c r="D132" s="12"/>
      <c r="E132" s="20"/>
      <c r="F132" s="3">
        <v>2.0000000000000009</v>
      </c>
      <c r="G132" s="3">
        <v>0.50000000000000022</v>
      </c>
      <c r="H132" s="13">
        <v>0.50000000000000033</v>
      </c>
      <c r="I132" s="13"/>
      <c r="J132" s="13"/>
    </row>
    <row r="133" spans="2:10" x14ac:dyDescent="0.25">
      <c r="D133" s="12"/>
      <c r="E133" s="3"/>
      <c r="F133" s="3">
        <v>2.100000000000001</v>
      </c>
      <c r="G133" s="3">
        <v>0.52960085881140528</v>
      </c>
      <c r="H133" s="13">
        <v>0.53504236929307847</v>
      </c>
      <c r="J133" s="13"/>
    </row>
    <row r="134" spans="2:10" x14ac:dyDescent="0.25">
      <c r="D134" s="12"/>
      <c r="E134" s="3"/>
      <c r="F134" s="3">
        <v>2.2000000000000011</v>
      </c>
      <c r="G134" s="3">
        <v>0.5625162487117833</v>
      </c>
      <c r="H134" s="13">
        <v>0.57459705449190035</v>
      </c>
      <c r="J134" s="13"/>
    </row>
    <row r="135" spans="2:10" x14ac:dyDescent="0.25">
      <c r="D135" s="12"/>
      <c r="E135" s="3"/>
      <c r="F135" s="3">
        <v>2.3000000000000012</v>
      </c>
      <c r="G135" s="3">
        <v>0.59753648230848544</v>
      </c>
      <c r="H135" s="13">
        <v>0.61655173969072219</v>
      </c>
      <c r="J135" s="13"/>
    </row>
    <row r="136" spans="2:10" x14ac:dyDescent="0.25">
      <c r="D136" s="12"/>
      <c r="E136" s="3"/>
      <c r="F136" s="3">
        <v>2.4000000000000012</v>
      </c>
      <c r="G136" s="3">
        <v>0.63345187220886334</v>
      </c>
      <c r="H136" s="13">
        <v>0.65879410898380031</v>
      </c>
      <c r="J136" s="13"/>
    </row>
    <row r="137" spans="2:10" x14ac:dyDescent="0.25">
      <c r="D137" s="12"/>
      <c r="E137" s="3"/>
      <c r="F137" s="3">
        <v>2.5000000000000013</v>
      </c>
      <c r="G137" s="3">
        <v>0.66905273102026841</v>
      </c>
      <c r="H137" s="13">
        <v>0.69921184646539081</v>
      </c>
      <c r="J137" s="13"/>
    </row>
    <row r="138" spans="2:10" x14ac:dyDescent="0.25">
      <c r="D138" s="12"/>
      <c r="E138" s="3"/>
      <c r="F138" s="3">
        <v>2.6000000000000014</v>
      </c>
      <c r="G138" s="3">
        <v>0.70312937135005205</v>
      </c>
      <c r="H138" s="13">
        <v>0.73569263622975012</v>
      </c>
      <c r="J138" s="13"/>
    </row>
    <row r="139" spans="2:10" x14ac:dyDescent="0.25">
      <c r="D139" s="12"/>
      <c r="E139" s="3"/>
      <c r="F139" s="3">
        <v>2.7000000000000015</v>
      </c>
      <c r="G139" s="3">
        <v>0.73447210580556566</v>
      </c>
      <c r="H139" s="13">
        <v>0.76612416237113445</v>
      </c>
      <c r="J139" s="13"/>
    </row>
    <row r="140" spans="2:10" x14ac:dyDescent="0.25">
      <c r="D140" s="12"/>
      <c r="E140" s="3"/>
      <c r="F140" s="3">
        <v>2.8000000000000016</v>
      </c>
      <c r="G140" s="3">
        <v>0.76187124699416053</v>
      </c>
      <c r="H140" s="13">
        <v>0.78839410898380002</v>
      </c>
      <c r="J140" s="13"/>
    </row>
    <row r="141" spans="2:10" x14ac:dyDescent="0.25">
      <c r="D141" s="12"/>
      <c r="E141" s="3"/>
      <c r="F141" s="3">
        <v>2.9000000000000017</v>
      </c>
      <c r="G141" s="3">
        <v>0.78411710752318831</v>
      </c>
      <c r="H141" s="13">
        <v>0.80039016016200304</v>
      </c>
      <c r="J141" s="13"/>
    </row>
    <row r="142" spans="2:10" x14ac:dyDescent="0.25">
      <c r="D142" s="12"/>
      <c r="E142" s="3"/>
      <c r="F142" s="3">
        <v>3.0000000000000018</v>
      </c>
      <c r="G142" s="3">
        <v>0.7999999999999996</v>
      </c>
      <c r="H142" s="13">
        <v>0.79999999999999993</v>
      </c>
      <c r="J142" s="13"/>
    </row>
    <row r="143" spans="2:10" x14ac:dyDescent="0.25">
      <c r="D143" s="12"/>
      <c r="E143" s="3"/>
      <c r="F143" s="3">
        <v>3.1000000000000019</v>
      </c>
      <c r="G143" s="3">
        <v>0.77371750257643368</v>
      </c>
      <c r="H143" s="13">
        <v>0.78586116531664174</v>
      </c>
      <c r="J143" s="13"/>
    </row>
    <row r="144" spans="2:10" x14ac:dyDescent="0.25">
      <c r="D144" s="12"/>
      <c r="E144" s="3"/>
      <c r="F144" s="3">
        <v>3.200000000000002</v>
      </c>
      <c r="G144" s="3">
        <v>0.74109625558227343</v>
      </c>
      <c r="H144" s="13">
        <v>0.7596106038291599</v>
      </c>
      <c r="J144" s="13"/>
    </row>
    <row r="145" spans="4:10" x14ac:dyDescent="0.25">
      <c r="D145" s="12"/>
      <c r="E145" s="3"/>
      <c r="F145" s="3">
        <v>3.300000000000002</v>
      </c>
      <c r="G145" s="3">
        <v>0.70337016489178894</v>
      </c>
      <c r="H145" s="13">
        <v>0.72363511597938068</v>
      </c>
      <c r="J145" s="13"/>
    </row>
    <row r="146" spans="4:10" x14ac:dyDescent="0.25">
      <c r="D146" s="12"/>
      <c r="E146" s="3"/>
      <c r="F146" s="3">
        <v>3.4000000000000021</v>
      </c>
      <c r="G146" s="3">
        <v>0.66177313637925028</v>
      </c>
      <c r="H146" s="13">
        <v>0.68032150220913012</v>
      </c>
      <c r="J146" s="13"/>
    </row>
    <row r="147" spans="4:10" x14ac:dyDescent="0.25">
      <c r="D147" s="12"/>
      <c r="E147" s="3"/>
      <c r="F147" s="3">
        <v>3.5000000000000022</v>
      </c>
      <c r="G147" s="3">
        <v>0.6175390759189272</v>
      </c>
      <c r="H147" s="13">
        <v>0.6320565629602346</v>
      </c>
      <c r="J147" s="13"/>
    </row>
    <row r="148" spans="4:10" x14ac:dyDescent="0.25">
      <c r="D148" s="12"/>
      <c r="F148" s="3">
        <v>3.6000000000000023</v>
      </c>
      <c r="G148" s="3">
        <v>0.57190188938509001</v>
      </c>
      <c r="H148" s="13">
        <v>0.58122709867452027</v>
      </c>
      <c r="J148" s="3" cm="1">
        <f t="array" ref="J148:J156">_xlfn.LAMBDA(_xlpm.known_x,_xlpm.known_y,_xlpm.x_target,
    _xlfn.LET(
        _xlpm.REM_1, "---- Initialize dimensions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Internal Thomas Algorithm (SOLVE_TRIDIAG) ----",
        _xlpm.SOLVE_TRIDIAG, _xlfn.LAMBDA(_xlpm.a,_xlpm.b,_xlpm.c,_xlpm.d,
            _xlfn.LET(
                _xlpm.n_trid, ROWS(_xlpm.d),
                _xlpm.REM_3, "---- Forward sweep: compute modified coefficients ----",
                _xlpm.sweep, _xlfn.REDUCE(_xlfn.HSTACK(INDEX(_xlpm.c, 1) / INDEX(_xlpm.b, 1), INDEX(_xlpm.d, 1) / INDEX(_xlpm.b, 1)), _xlfn.SEQUENCE(_xlpm.n_trid - 1, 1, 2),
                    _xlfn.LAMBDA(_xlpm.acc,_xlpm.i,
                        _xlfn.LET(
                            _xlpm.cp_prev, INDEX(_xlpm.acc, ROWS(_xlpm.acc), 1),
                            _xlpm.dp_prev, INDEX(_xlpm.acc, ROWS(_xlpm.acc), 2),
                            _xlpm.denom, INDEX(_xlpm.b, _xlpm.i) - INDEX(_xlpm.a, _xlpm.i) * _xlpm.cp_prev,
                            _xlpm.cp, INDEX(_xlpm.c, _xlpm.i) / _xlpm.denom,
                            _xlpm.dp, (INDEX(_xlpm.d, _xlpm.i) - INDEX(_xlpm.a, _xlpm.i) * _xlpm.dp_prev) / _xlpm.denom,
                            _xlfn.VSTACK(_xlpm.acc, _xlfn.HSTACK(_xlpm.cp, _xlpm.dp))
                        )
                    )
                ),
                _xlpm.REM_4, "---- Back substitution: compute solution vector ----",
                _xlfn.REDUCE(INDEX(_xlpm.sweep, _xlpm.n_trid, 2), _xlfn.SEQUENCE(_xlpm.n_trid - 1, 1, _xlpm.n_trid - 1, -1),
                    _xlfn.LAMBDA(_xlpm.acc,_xlpm.i, _xlfn.VSTACK(INDEX(_xlpm.sweep, _xlpm.i, 2) - INDEX(_xlpm.sweep, _xlpm.i, 1) * INDEX(_xlpm.acc, 1), _xlpm.acc))
                )
            )
        ),
        _xlpm.rem_5, "---- Construct Tridiagonal Matrix for Natural Spline ----",
        _xlpm.rem_6, "---- diag_b must be 1 at boundaries to force M=0 ----",
        _xlpm.diag_b, _xlfn.VSTACK(1, 2 * (_xlfn.DROP(_xlpm.h, -1) + _xlfn.DROP(_xlpm.h, 1)), 1),
        _xlpm.rem_7, "---- diag_a (sub) and diag_c (super) must be 0 at boundaries ----",
        _xlpm.diag_a, _xlfn.VSTACK(0, _xlfn.DROP(_xlpm.h, -1), 0),
        _xlpm.diag_c, _xlfn.VSTACK(0, _xlfn.DROP(_xlpm.h, 1), 0),
        _xlpm.rem_8, "---- vec_d is 0 at boundaries and 6 * second-order diffs inside ----",
        _xlpm.vec_d, _xlfn.VSTACK(0, 6 * (_xlfn.DROP(_xlpm.slope, 1) - _xlfn.DROP(_xlpm.slope, -1)), 0),
        _xlpm.diag_a
    )
)(_xlfn.ANCHORARRAY(B122),C122:C130,_xlfn.ANCHORARRAY(F122))</f>
        <v>0</v>
      </c>
    </row>
    <row r="149" spans="4:10" x14ac:dyDescent="0.25">
      <c r="F149" s="3">
        <v>3.7000000000000024</v>
      </c>
      <c r="G149" s="3">
        <v>0.52609548265200856</v>
      </c>
      <c r="H149" s="13">
        <v>0.53021990979381317</v>
      </c>
      <c r="J149" s="3">
        <v>1</v>
      </c>
    </row>
    <row r="150" spans="4:10" x14ac:dyDescent="0.25">
      <c r="F150" s="3">
        <v>3.8000000000000025</v>
      </c>
      <c r="G150" s="3">
        <v>0.48135376159395288</v>
      </c>
      <c r="H150" s="13">
        <v>0.48142179675993996</v>
      </c>
      <c r="J150" s="3">
        <v>1</v>
      </c>
    </row>
    <row r="151" spans="4:10" x14ac:dyDescent="0.25">
      <c r="F151" s="3">
        <v>3.9000000000000026</v>
      </c>
      <c r="G151" s="3">
        <v>0.43891063208519304</v>
      </c>
      <c r="H151" s="13">
        <v>0.4372195600147265</v>
      </c>
      <c r="J151" s="3">
        <v>1</v>
      </c>
    </row>
    <row r="152" spans="4:10" x14ac:dyDescent="0.25">
      <c r="F152" s="3">
        <v>4.0000000000000027</v>
      </c>
      <c r="G152" s="3">
        <v>0.39999999999999947</v>
      </c>
      <c r="H152" s="13">
        <v>0.39999999999999913</v>
      </c>
      <c r="J152" s="3">
        <v>1</v>
      </c>
    </row>
    <row r="153" spans="4:10" x14ac:dyDescent="0.25">
      <c r="F153" s="3">
        <v>4.1000000000000023</v>
      </c>
      <c r="G153" s="3">
        <v>0.38052913088285772</v>
      </c>
      <c r="H153" s="13">
        <v>0.37151296944035295</v>
      </c>
      <c r="J153" s="3">
        <v>1</v>
      </c>
    </row>
    <row r="154" spans="4:10" x14ac:dyDescent="0.25">
      <c r="F154" s="3">
        <v>4.200000000000002</v>
      </c>
      <c r="G154" s="3">
        <v>0.36509872895912032</v>
      </c>
      <c r="H154" s="13">
        <v>0.35096053019145773</v>
      </c>
      <c r="J154" s="3">
        <v>1</v>
      </c>
    </row>
    <row r="155" spans="4:10" x14ac:dyDescent="0.25">
      <c r="F155" s="3">
        <v>4.3000000000000016</v>
      </c>
      <c r="G155" s="3">
        <v>0.3529828581243557</v>
      </c>
      <c r="H155" s="13">
        <v>0.33690779639175239</v>
      </c>
      <c r="J155" s="3">
        <v>1</v>
      </c>
    </row>
    <row r="156" spans="4:10" x14ac:dyDescent="0.25">
      <c r="F156" s="3">
        <v>4.4000000000000012</v>
      </c>
      <c r="G156" s="3">
        <v>0.34345558227413253</v>
      </c>
      <c r="H156" s="13">
        <v>0.32791988217967588</v>
      </c>
      <c r="J156" s="3">
        <v>0</v>
      </c>
    </row>
    <row r="157" spans="4:10" x14ac:dyDescent="0.25">
      <c r="F157" s="3">
        <v>4.5000000000000009</v>
      </c>
      <c r="G157" s="3">
        <v>0.3357909653040192</v>
      </c>
      <c r="H157" s="13">
        <v>0.32256190169366711</v>
      </c>
    </row>
    <row r="158" spans="4:10" x14ac:dyDescent="0.25">
      <c r="F158" s="3">
        <v>4.6000000000000005</v>
      </c>
      <c r="G158" s="3">
        <v>0.3292630711095843</v>
      </c>
      <c r="H158" s="13">
        <v>0.31939896907216492</v>
      </c>
    </row>
    <row r="159" spans="4:10" x14ac:dyDescent="0.25">
      <c r="F159" s="3">
        <v>4.7</v>
      </c>
      <c r="G159" s="3">
        <v>0.32314596358639641</v>
      </c>
      <c r="H159" s="13">
        <v>0.31699619845360827</v>
      </c>
    </row>
    <row r="160" spans="4:10" x14ac:dyDescent="0.25">
      <c r="F160" s="3">
        <v>4.8</v>
      </c>
      <c r="G160" s="3">
        <v>0.31671370663002407</v>
      </c>
      <c r="H160" s="13">
        <v>0.3139187039764359</v>
      </c>
    </row>
    <row r="161" spans="6:8" x14ac:dyDescent="0.25">
      <c r="F161" s="3">
        <v>4.8999999999999995</v>
      </c>
      <c r="G161" s="3">
        <v>0.30924036413603578</v>
      </c>
      <c r="H161" s="13">
        <v>0.30873159977908687</v>
      </c>
    </row>
    <row r="162" spans="6:8" x14ac:dyDescent="0.25">
      <c r="F162" s="3">
        <v>4.9999999999999991</v>
      </c>
      <c r="G162" s="3">
        <v>0.3000000000000001</v>
      </c>
      <c r="H162" s="13">
        <v>0.30000000000000004</v>
      </c>
    </row>
    <row r="163" spans="6:8" x14ac:dyDescent="0.25">
      <c r="F163" s="3">
        <v>5.0999999999999988</v>
      </c>
      <c r="G163" s="3">
        <v>0.28346597389213352</v>
      </c>
      <c r="H163" s="13">
        <v>0.28668695692194424</v>
      </c>
    </row>
    <row r="164" spans="6:8" x14ac:dyDescent="0.25">
      <c r="F164" s="3">
        <v>5.1999999999999984</v>
      </c>
      <c r="G164" s="3">
        <v>0.26490882858124387</v>
      </c>
      <c r="H164" s="13">
        <v>0.26934727540500764</v>
      </c>
    </row>
    <row r="165" spans="6:8" x14ac:dyDescent="0.25">
      <c r="F165" s="3">
        <v>5.299999999999998</v>
      </c>
      <c r="G165" s="3">
        <v>0.24479840261078706</v>
      </c>
      <c r="H165" s="13">
        <v>0.24893369845360866</v>
      </c>
    </row>
    <row r="166" spans="6:8" x14ac:dyDescent="0.25">
      <c r="F166" s="3">
        <v>5.3999999999999977</v>
      </c>
      <c r="G166" s="3">
        <v>0.22360453452421897</v>
      </c>
      <c r="H166" s="13">
        <v>0.22639896907216547</v>
      </c>
    </row>
    <row r="167" spans="6:8" x14ac:dyDescent="0.25">
      <c r="F167" s="3">
        <v>5.4999999999999973</v>
      </c>
      <c r="G167" s="3">
        <v>0.20179706286499544</v>
      </c>
      <c r="H167" s="13">
        <v>0.20269583026509636</v>
      </c>
    </row>
    <row r="168" spans="6:8" x14ac:dyDescent="0.25">
      <c r="F168" s="3">
        <v>5.599999999999997</v>
      </c>
      <c r="G168" s="3">
        <v>0.1798458261765723</v>
      </c>
      <c r="H168" s="13">
        <v>0.17877702503681955</v>
      </c>
    </row>
    <row r="169" spans="6:8" x14ac:dyDescent="0.25">
      <c r="F169" s="3">
        <v>5.6999999999999966</v>
      </c>
      <c r="G169" s="3">
        <v>0.15822066300240539</v>
      </c>
      <c r="H169" s="13">
        <v>0.15559529639175332</v>
      </c>
    </row>
    <row r="170" spans="6:8" x14ac:dyDescent="0.25">
      <c r="F170" s="3">
        <v>5.7999999999999963</v>
      </c>
      <c r="G170" s="3">
        <v>0.13739141188595061</v>
      </c>
      <c r="H170" s="13">
        <v>0.13410338733431593</v>
      </c>
    </row>
    <row r="171" spans="6:8" x14ac:dyDescent="0.25">
      <c r="F171" s="3">
        <v>5.8999999999999959</v>
      </c>
      <c r="G171" s="3">
        <v>0.11782791137066376</v>
      </c>
      <c r="H171" s="13">
        <v>0.1152540408689256</v>
      </c>
    </row>
    <row r="172" spans="6:8" x14ac:dyDescent="0.25">
      <c r="F172" s="3">
        <v>5.9999999999999956</v>
      </c>
      <c r="G172" s="3">
        <v>0.10000000000000075</v>
      </c>
      <c r="H172" s="13">
        <v>0.10000000000000059</v>
      </c>
    </row>
    <row r="173" spans="6:8" x14ac:dyDescent="0.25">
      <c r="F173" s="3">
        <v>6.0999999999999952</v>
      </c>
      <c r="G173" s="3">
        <v>9.9306973548608707E-2</v>
      </c>
      <c r="H173" s="13">
        <v>8.9139202871870826E-2</v>
      </c>
    </row>
    <row r="174" spans="6:8" x14ac:dyDescent="0.25">
      <c r="F174" s="3">
        <v>6.1999999999999948</v>
      </c>
      <c r="G174" s="3">
        <v>0.10086595671590505</v>
      </c>
      <c r="H174" s="13">
        <v>8.2850368188512741E-2</v>
      </c>
    </row>
    <row r="175" spans="6:8" x14ac:dyDescent="0.25">
      <c r="F175" s="3">
        <v>6.2999999999999945</v>
      </c>
      <c r="G175" s="3">
        <v>0.10472353143249716</v>
      </c>
      <c r="H175" s="13">
        <v>8.1157409793814417E-2</v>
      </c>
    </row>
    <row r="176" spans="6:8" x14ac:dyDescent="0.25">
      <c r="F176" s="3">
        <v>6.3999999999999941</v>
      </c>
      <c r="G176" s="3">
        <v>0.11092627962899305</v>
      </c>
      <c r="H176" s="13">
        <v>8.4084241531663925E-2</v>
      </c>
    </row>
    <row r="177" spans="6:8" x14ac:dyDescent="0.25">
      <c r="F177" s="3">
        <v>6.4999999999999938</v>
      </c>
      <c r="G177" s="3">
        <v>0.11952078323600077</v>
      </c>
      <c r="H177" s="13">
        <v>9.1654777245949337E-2</v>
      </c>
    </row>
    <row r="178" spans="6:8" x14ac:dyDescent="0.25">
      <c r="F178" s="3">
        <v>6.5999999999999934</v>
      </c>
      <c r="G178" s="3">
        <v>0.13055362418412836</v>
      </c>
      <c r="H178" s="13">
        <v>0.10389293078055871</v>
      </c>
    </row>
    <row r="179" spans="6:8" x14ac:dyDescent="0.25">
      <c r="F179" s="3">
        <v>6.6999999999999931</v>
      </c>
      <c r="G179" s="3">
        <v>0.14407138440398387</v>
      </c>
      <c r="H179" s="13">
        <v>0.12082261597938013</v>
      </c>
    </row>
    <row r="180" spans="6:8" x14ac:dyDescent="0.25">
      <c r="F180" s="3">
        <v>6.7999999999999927</v>
      </c>
      <c r="G180" s="3">
        <v>0.1601206458261753</v>
      </c>
      <c r="H180" s="13">
        <v>0.14246774668630163</v>
      </c>
    </row>
    <row r="181" spans="6:8" x14ac:dyDescent="0.25">
      <c r="F181" s="3">
        <v>6.8999999999999924</v>
      </c>
      <c r="G181" s="3">
        <v>0.17874799038131073</v>
      </c>
      <c r="H181" s="13">
        <v>0.16885223674521135</v>
      </c>
    </row>
    <row r="182" spans="6:8" x14ac:dyDescent="0.25">
      <c r="F182" s="3">
        <v>6.999999999999992</v>
      </c>
      <c r="G182" s="3">
        <v>0.19999999999999821</v>
      </c>
      <c r="H182" s="13">
        <v>0.19999999999999735</v>
      </c>
    </row>
    <row r="183" spans="6:8" x14ac:dyDescent="0.25">
      <c r="F183" s="3">
        <v>7.0999999999999917</v>
      </c>
      <c r="G183" s="3">
        <v>0.23880613191342848</v>
      </c>
      <c r="H183" s="13">
        <v>0.23575623159057124</v>
      </c>
    </row>
    <row r="184" spans="6:8" x14ac:dyDescent="0.25">
      <c r="F184" s="3">
        <v>7.1999999999999913</v>
      </c>
      <c r="G184" s="3">
        <v>0.27962734455513205</v>
      </c>
      <c r="H184" s="13">
        <v>0.27525125184093902</v>
      </c>
    </row>
    <row r="185" spans="6:8" x14ac:dyDescent="0.25">
      <c r="F185" s="3">
        <v>7.2999999999999909</v>
      </c>
      <c r="G185" s="3">
        <v>0.3218074716592198</v>
      </c>
      <c r="H185" s="13">
        <v>0.31743666237113011</v>
      </c>
    </row>
    <row r="186" spans="6:8" x14ac:dyDescent="0.25">
      <c r="F186" s="3">
        <v>7.3999999999999906</v>
      </c>
      <c r="G186" s="3">
        <v>0.36469034695980362</v>
      </c>
      <c r="H186" s="13">
        <v>0.36126406480117401</v>
      </c>
    </row>
    <row r="187" spans="6:8" x14ac:dyDescent="0.25">
      <c r="F187" s="3">
        <v>7.4999999999999902</v>
      </c>
      <c r="G187" s="3">
        <v>0.40761980419099553</v>
      </c>
      <c r="H187" s="13">
        <v>0.40568506075110022</v>
      </c>
    </row>
    <row r="188" spans="6:8" x14ac:dyDescent="0.25">
      <c r="F188" s="3">
        <v>7.5999999999999899</v>
      </c>
      <c r="G188" s="3">
        <v>0.44993967708690752</v>
      </c>
      <c r="H188" s="13">
        <v>0.44965125184093813</v>
      </c>
    </row>
    <row r="189" spans="6:8" x14ac:dyDescent="0.25">
      <c r="F189" s="3">
        <v>7.6999999999999895</v>
      </c>
      <c r="G189" s="3">
        <v>0.49099379938165161</v>
      </c>
      <c r="H189" s="13">
        <v>0.49211423969071733</v>
      </c>
    </row>
    <row r="190" spans="6:8" x14ac:dyDescent="0.25">
      <c r="F190" s="3">
        <v>7.7999999999999892</v>
      </c>
      <c r="G190" s="3">
        <v>0.5301260048093398</v>
      </c>
      <c r="H190" s="13">
        <v>0.53202562592046709</v>
      </c>
    </row>
    <row r="191" spans="6:8" x14ac:dyDescent="0.25">
      <c r="F191" s="3">
        <v>7.8999999999999888</v>
      </c>
      <c r="G191" s="3">
        <v>0.566680127104084</v>
      </c>
      <c r="H191" s="13">
        <v>0.56833701215021704</v>
      </c>
    </row>
    <row r="192" spans="6:8" x14ac:dyDescent="0.25">
      <c r="F192" s="3">
        <v>7.9999999999999885</v>
      </c>
      <c r="G192" s="3">
        <v>0.59999999999999631</v>
      </c>
      <c r="H192" s="13">
        <v>0.59999999999999654</v>
      </c>
    </row>
    <row r="193" spans="6:8" x14ac:dyDescent="0.25">
      <c r="F193" s="3">
        <v>8.099999999999989</v>
      </c>
      <c r="G193" s="3">
        <v>0.61466849879766261</v>
      </c>
      <c r="H193" s="13">
        <v>0.62623587076582954</v>
      </c>
    </row>
    <row r="194" spans="6:8" x14ac:dyDescent="0.25">
      <c r="F194" s="3">
        <v>8.1999999999999886</v>
      </c>
      <c r="G194" s="3">
        <v>0.62622466506355079</v>
      </c>
      <c r="H194" s="13">
        <v>0.64734462444771512</v>
      </c>
    </row>
    <row r="195" spans="6:8" x14ac:dyDescent="0.25">
      <c r="F195" s="3">
        <v>8.2999999999999883</v>
      </c>
      <c r="G195" s="3">
        <v>0.63544658193060699</v>
      </c>
      <c r="H195" s="13">
        <v>0.66389594072164781</v>
      </c>
    </row>
    <row r="196" spans="6:8" x14ac:dyDescent="0.25">
      <c r="F196" s="3">
        <v>8.3999999999999879</v>
      </c>
      <c r="G196" s="3">
        <v>0.64311233253177513</v>
      </c>
      <c r="H196" s="13">
        <v>0.6764594992636217</v>
      </c>
    </row>
    <row r="197" spans="6:8" x14ac:dyDescent="0.25">
      <c r="F197" s="3">
        <v>8.4999999999999876</v>
      </c>
      <c r="G197" s="3">
        <v>0.64999999999999913</v>
      </c>
      <c r="H197" s="13">
        <v>0.68560497974963086</v>
      </c>
    </row>
    <row r="198" spans="6:8" x14ac:dyDescent="0.25">
      <c r="F198" s="3">
        <v>8.5999999999999872</v>
      </c>
      <c r="G198" s="3">
        <v>0.65688766746822302</v>
      </c>
      <c r="H198" s="13">
        <v>0.69190206185566938</v>
      </c>
    </row>
    <row r="199" spans="6:8" x14ac:dyDescent="0.25">
      <c r="F199" s="3">
        <v>8.6999999999999869</v>
      </c>
      <c r="G199" s="3">
        <v>0.66455341806939083</v>
      </c>
      <c r="H199" s="13">
        <v>0.69592042525773157</v>
      </c>
    </row>
    <row r="200" spans="6:8" x14ac:dyDescent="0.25">
      <c r="F200" s="3">
        <v>8.7999999999999865</v>
      </c>
      <c r="G200" s="3">
        <v>0.67377533493644659</v>
      </c>
      <c r="H200" s="13">
        <v>0.69822974963181128</v>
      </c>
    </row>
    <row r="201" spans="6:8" x14ac:dyDescent="0.25">
      <c r="F201" s="3">
        <v>8.8999999999999861</v>
      </c>
      <c r="G201" s="3">
        <v>0.6853315012023341</v>
      </c>
      <c r="H201" s="13">
        <v>0.6993997146539026</v>
      </c>
    </row>
    <row r="202" spans="6:8" x14ac:dyDescent="0.25">
      <c r="F202" s="3">
        <v>8.9999999999999858</v>
      </c>
      <c r="G202" s="3">
        <v>0.69999999999999762</v>
      </c>
      <c r="H202" s="13">
        <v>0.7</v>
      </c>
    </row>
    <row r="203" spans="6:8" x14ac:dyDescent="0.25">
      <c r="F203" s="3">
        <v>9.0999999999999854</v>
      </c>
      <c r="G203" s="3">
        <v>0.71855891446238096</v>
      </c>
      <c r="H203" s="13">
        <v>0.70060028534609697</v>
      </c>
    </row>
    <row r="204" spans="6:8" x14ac:dyDescent="0.25">
      <c r="F204" s="3">
        <v>9.1999999999999851</v>
      </c>
      <c r="G204" s="3">
        <v>0.74178632772242825</v>
      </c>
      <c r="H204" s="13">
        <v>0.70177025036818819</v>
      </c>
    </row>
    <row r="205" spans="6:8" x14ac:dyDescent="0.25">
      <c r="F205" s="3">
        <v>9.2999999999999847</v>
      </c>
      <c r="G205" s="3">
        <v>0.77046032291308342</v>
      </c>
      <c r="H205" s="13">
        <v>0.70407957474226746</v>
      </c>
    </row>
    <row r="206" spans="6:8" x14ac:dyDescent="0.25">
      <c r="F206" s="3">
        <v>9.3999999999999844</v>
      </c>
      <c r="G206" s="3">
        <v>0.80535898316729038</v>
      </c>
      <c r="H206" s="13">
        <v>0.70809793814432909</v>
      </c>
    </row>
    <row r="207" spans="6:8" x14ac:dyDescent="0.25">
      <c r="F207" s="3">
        <v>9.499999999999984</v>
      </c>
      <c r="G207" s="3">
        <v>0.84726039161799327</v>
      </c>
      <c r="H207" s="13">
        <v>0.71439502025036705</v>
      </c>
    </row>
    <row r="208" spans="6:8" x14ac:dyDescent="0.25">
      <c r="F208" s="3">
        <v>9.5999999999999837</v>
      </c>
      <c r="G208" s="3">
        <v>0.89694263139813601</v>
      </c>
      <c r="H208" s="13">
        <v>0.7235405007363751</v>
      </c>
    </row>
    <row r="209" spans="6:8" x14ac:dyDescent="0.25">
      <c r="F209" s="3">
        <v>9.6999999999999833</v>
      </c>
      <c r="G209" s="3">
        <v>0.95518378564066286</v>
      </c>
      <c r="H209" s="13">
        <v>0.7361040592783481</v>
      </c>
    </row>
    <row r="210" spans="6:8" x14ac:dyDescent="0.25">
      <c r="F210" s="3">
        <v>9.7999999999999829</v>
      </c>
      <c r="G210" s="3">
        <v>1.0227619374785171</v>
      </c>
      <c r="H210" s="13">
        <v>0.75265537555227935</v>
      </c>
    </row>
    <row r="211" spans="6:8" x14ac:dyDescent="0.25">
      <c r="F211" s="3"/>
      <c r="G211" s="3"/>
    </row>
    <row r="212" spans="6:8" x14ac:dyDescent="0.25">
      <c r="F212" s="3"/>
      <c r="G212" s="3"/>
    </row>
    <row r="213" spans="6:8" x14ac:dyDescent="0.25">
      <c r="F213" s="3"/>
      <c r="G213" s="3"/>
    </row>
    <row r="214" spans="6:8" x14ac:dyDescent="0.25">
      <c r="F214" s="3"/>
      <c r="G214" s="3"/>
    </row>
    <row r="215" spans="6:8" x14ac:dyDescent="0.25">
      <c r="F215" s="3"/>
      <c r="G215" s="3"/>
    </row>
    <row r="216" spans="6:8" x14ac:dyDescent="0.25">
      <c r="F216" s="3"/>
      <c r="G216" s="3"/>
    </row>
    <row r="217" spans="6:8" x14ac:dyDescent="0.25">
      <c r="F217" s="3"/>
      <c r="G217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topLeftCell="K1" workbookViewId="0">
      <selection activeCell="N30" sqref="N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>
        <v>5.4032</v>
      </c>
      <c r="Y5" s="6">
        <v>1000000</v>
      </c>
      <c r="Z5" s="3">
        <f>Y5*U5*C5*1%*C5/X5</f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>
        <v>5.4032</v>
      </c>
      <c r="Y6" s="6">
        <v>1000000</v>
      </c>
      <c r="Z6" s="3">
        <f>Y6*U6*C6*1%*C6/X6</f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56" t="s">
        <v>33</v>
      </c>
      <c r="AD8" s="56"/>
      <c r="AE8" s="56"/>
      <c r="AF8" s="56"/>
      <c r="AG8" s="56" t="s">
        <v>34</v>
      </c>
      <c r="AH8" s="56"/>
      <c r="AI8" s="56"/>
      <c r="AJ8" s="56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>AJ11/AF11</f>
        <v>1.0106380942474968</v>
      </c>
      <c r="AL11" s="6">
        <v>11</v>
      </c>
      <c r="AM11">
        <f>AK11^(AL11/(AH11-AD11))</f>
        <v>1.0058370187089534</v>
      </c>
      <c r="AN11">
        <f>AM11*AF11</f>
        <v>1.055423288627489</v>
      </c>
      <c r="AO11" s="15">
        <f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>
        <v>5.4032</v>
      </c>
      <c r="Y12" s="6">
        <v>1000000</v>
      </c>
      <c r="Z12" s="3">
        <f>Y12*U12*C12*1%*C12/X12</f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>AJ12/AF12</f>
        <v>1.0106380942474968</v>
      </c>
      <c r="AL12" s="6">
        <v>11</v>
      </c>
      <c r="AM12">
        <f>AK12^(AL12/(AH12-AD12))</f>
        <v>1.0058370187089534</v>
      </c>
      <c r="AN12">
        <f>AM12*AF12</f>
        <v>1.055423288627489</v>
      </c>
      <c r="AO12" s="15">
        <f>AN12^(252/(AD12+AL12))-1</f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>
        <v>5.4032</v>
      </c>
      <c r="Y13" s="6">
        <v>1000000</v>
      </c>
      <c r="Z13" s="3">
        <f>Y13*U13*C13*1%*C13/X13</f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>AJ13/AF13</f>
        <v>1.0106380942474968</v>
      </c>
      <c r="AL13" s="6">
        <v>11</v>
      </c>
      <c r="AM13">
        <f>AK13^(AL13/(AH13-AD13))</f>
        <v>1.0058370187089534</v>
      </c>
      <c r="AN13">
        <f>AM13*AF13</f>
        <v>1.055423288627489</v>
      </c>
      <c r="AO13" s="15">
        <f>AN13^(252/(AD13+AL13))-1</f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>Y19*U19*C19*1%*C19/X19</f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>AB19-H19</f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>Y20*U20*C20*1%*C20/X20</f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>AB20-H20</f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>
        <f t="shared" si="0"/>
        <v>0</v>
      </c>
      <c r="Y22" s="13">
        <f t="shared" si="0"/>
        <v>0</v>
      </c>
      <c r="Z22" s="13">
        <f t="shared" si="0"/>
        <v>0</v>
      </c>
      <c r="AA22" s="13">
        <f t="shared" si="0"/>
        <v>0</v>
      </c>
    </row>
    <row r="23" spans="1:29" x14ac:dyDescent="0.25">
      <c r="S23" s="13">
        <f t="shared" ref="S23:AA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>
        <f t="shared" si="1"/>
        <v>0</v>
      </c>
      <c r="Y23" s="13">
        <f t="shared" si="1"/>
        <v>0</v>
      </c>
      <c r="Z23" s="13">
        <f t="shared" si="1"/>
        <v>0</v>
      </c>
      <c r="AA23" s="13">
        <f t="shared" si="1"/>
        <v>0</v>
      </c>
    </row>
    <row r="24" spans="1:29" x14ac:dyDescent="0.25">
      <c r="S24" s="13">
        <f t="shared" ref="S24:AA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>
        <f t="shared" si="2"/>
        <v>0</v>
      </c>
      <c r="Y24" s="13">
        <f t="shared" si="2"/>
        <v>0</v>
      </c>
      <c r="Z24" s="13">
        <f t="shared" si="2"/>
        <v>0</v>
      </c>
      <c r="AA24" s="13">
        <f t="shared" si="2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>
        <f t="shared" si="3"/>
        <v>0</v>
      </c>
      <c r="Y25" s="13">
        <f t="shared" si="3"/>
        <v>0</v>
      </c>
      <c r="Z25" s="13">
        <f t="shared" si="3"/>
        <v>0</v>
      </c>
      <c r="AA25" s="13">
        <f t="shared" si="3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">EOMONTH(F27,E27-1)+1</f>
        <v>46023</v>
      </c>
      <c r="H27" t="str">
        <f t="shared" ref="H27:H35" si="5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6">K27/252</f>
        <v>0.10714285714285714</v>
      </c>
      <c r="M27">
        <f t="shared" ref="M27:M35" si="7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8">C27+1</f>
        <v>3</v>
      </c>
      <c r="E28">
        <f t="shared" ref="E28:E35" si="9">E27+1</f>
        <v>3</v>
      </c>
      <c r="F28" s="2">
        <v>45982</v>
      </c>
      <c r="G28" s="2">
        <f t="shared" si="4"/>
        <v>46054</v>
      </c>
      <c r="H28" t="str">
        <f t="shared" si="5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6"/>
        <v>0.19047619047619047</v>
      </c>
      <c r="M28">
        <f t="shared" si="7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8"/>
        <v>4</v>
      </c>
      <c r="E29">
        <f t="shared" si="9"/>
        <v>4</v>
      </c>
      <c r="F29" s="2">
        <v>45982</v>
      </c>
      <c r="G29" s="2">
        <f t="shared" si="4"/>
        <v>46082</v>
      </c>
      <c r="H29" t="str">
        <f t="shared" si="5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6"/>
        <v>0.26190476190476192</v>
      </c>
      <c r="M29">
        <f t="shared" si="7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8"/>
        <v>5</v>
      </c>
      <c r="E30">
        <f t="shared" si="9"/>
        <v>5</v>
      </c>
      <c r="F30" s="2">
        <v>45982</v>
      </c>
      <c r="G30" s="2">
        <f t="shared" si="4"/>
        <v>46113</v>
      </c>
      <c r="H30" t="str">
        <f t="shared" si="5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6"/>
        <v>0.34920634920634919</v>
      </c>
      <c r="M30">
        <f t="shared" si="7"/>
        <v>1.0492985135724895</v>
      </c>
      <c r="S30" s="5"/>
    </row>
    <row r="31" spans="1:29" x14ac:dyDescent="0.25">
      <c r="B31" t="s">
        <v>50</v>
      </c>
      <c r="C31">
        <f t="shared" si="8"/>
        <v>6</v>
      </c>
      <c r="E31">
        <f t="shared" si="9"/>
        <v>6</v>
      </c>
      <c r="F31" s="2">
        <v>45982</v>
      </c>
      <c r="G31" s="2">
        <f t="shared" si="4"/>
        <v>46143</v>
      </c>
      <c r="H31" t="str">
        <f t="shared" si="5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6"/>
        <v>0.42857142857142855</v>
      </c>
      <c r="M31">
        <f t="shared" si="7"/>
        <v>1.060461050053632</v>
      </c>
    </row>
    <row r="32" spans="1:29" x14ac:dyDescent="0.25">
      <c r="B32" t="s">
        <v>51</v>
      </c>
      <c r="C32">
        <f t="shared" si="8"/>
        <v>7</v>
      </c>
      <c r="E32">
        <f t="shared" si="9"/>
        <v>7</v>
      </c>
      <c r="F32" s="2">
        <v>45982</v>
      </c>
      <c r="G32" s="2">
        <f t="shared" si="4"/>
        <v>46174</v>
      </c>
      <c r="H32" t="str">
        <f t="shared" si="5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6"/>
        <v>0.50793650793650791</v>
      </c>
      <c r="M32">
        <f t="shared" si="7"/>
        <v>1.0713873233723397</v>
      </c>
    </row>
    <row r="33" spans="2:19" x14ac:dyDescent="0.25">
      <c r="B33" t="s">
        <v>52</v>
      </c>
      <c r="C33">
        <f t="shared" si="8"/>
        <v>8</v>
      </c>
      <c r="E33">
        <f t="shared" si="9"/>
        <v>8</v>
      </c>
      <c r="F33" s="2">
        <v>45982</v>
      </c>
      <c r="G33" s="2">
        <f t="shared" si="4"/>
        <v>46204</v>
      </c>
      <c r="H33" t="str">
        <f t="shared" si="5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6"/>
        <v>0.59126984126984128</v>
      </c>
      <c r="M33">
        <f t="shared" si="7"/>
        <v>1.0828772091264154</v>
      </c>
      <c r="S33" s="5"/>
    </row>
    <row r="34" spans="2:19" x14ac:dyDescent="0.25">
      <c r="B34" t="s">
        <v>53</v>
      </c>
      <c r="C34">
        <f t="shared" si="8"/>
        <v>9</v>
      </c>
      <c r="E34">
        <f t="shared" si="9"/>
        <v>9</v>
      </c>
      <c r="F34" s="2">
        <v>45982</v>
      </c>
      <c r="G34" s="2">
        <f t="shared" si="4"/>
        <v>46235</v>
      </c>
      <c r="H34" t="str">
        <f t="shared" si="5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6"/>
        <v>0.68253968253968256</v>
      </c>
      <c r="M34">
        <f t="shared" si="7"/>
        <v>1.0953854894705597</v>
      </c>
    </row>
    <row r="35" spans="2:19" x14ac:dyDescent="0.25">
      <c r="B35" t="s">
        <v>54</v>
      </c>
      <c r="C35">
        <f t="shared" si="8"/>
        <v>10</v>
      </c>
      <c r="E35">
        <f t="shared" si="9"/>
        <v>10</v>
      </c>
      <c r="F35" s="2">
        <v>45982</v>
      </c>
      <c r="G35" s="2">
        <f t="shared" si="4"/>
        <v>46266</v>
      </c>
      <c r="H35" t="str">
        <f t="shared" si="5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6"/>
        <v>0.76587301587301593</v>
      </c>
      <c r="M35">
        <f t="shared" si="7"/>
        <v>1.1065985921458159</v>
      </c>
    </row>
    <row r="36" spans="2:19" x14ac:dyDescent="0.25">
      <c r="B36" t="s">
        <v>55</v>
      </c>
      <c r="C36">
        <f t="shared" si="8"/>
        <v>11</v>
      </c>
    </row>
    <row r="37" spans="2:19" x14ac:dyDescent="0.25">
      <c r="B37" t="s">
        <v>56</v>
      </c>
      <c r="C37">
        <f t="shared" si="8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bristo.lambdas</vt:lpstr>
      <vt:lpstr>ch1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2026-02-04T11:32:48Z</dcterms:modified>
</cp:coreProperties>
</file>