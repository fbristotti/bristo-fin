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49768B8D-487D-4BE5-BF87-BB7AEAE5D35B}" xr6:coauthVersionLast="47" xr6:coauthVersionMax="47" xr10:uidLastSave="{00000000-0000-0000-0000-000000000000}"/>
  <bookViews>
    <workbookView xWindow="-120" yWindow="-120" windowWidth="29040" windowHeight="15720" activeTab="2" xr2:uid="{DE452286-8C54-42EA-9FBD-687FCC5FC56A}"/>
  </bookViews>
  <sheets>
    <sheet name="bristo.lambdas" sheetId="1" r:id="rId1"/>
    <sheet name="ch1" sheetId="8" r:id="rId2"/>
    <sheet name="ch2" sheetId="9" r:id="rId3"/>
    <sheet name="tables" sheetId="7" r:id="rId4"/>
    <sheet name="options" sheetId="3" r:id="rId5"/>
    <sheet name="box" sheetId="5" r:id="rId6"/>
  </sheets>
  <definedNames>
    <definedName name="_xleta.DELTA" hidden="1" xlm="1">#NAME?</definedName>
    <definedName name="_xleta.GAMMA" hidden="1" xlm="1">#NAME?</definedName>
    <definedName name="_xleta.N" hidden="1" xlm="1">#NAME?</definedName>
    <definedName name="_xleta.SECOND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ars" hidden="1" xlm="1">#NAME?</definedName>
    <definedName name="_xlpm.clean_nw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w" hidden="1" xlm="1">#NAME?</definedName>
    <definedName name="_xlpm.new_row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i" hidden="1" xlm="1">#NAME?</definedName>
    <definedName name="_xlpm.pi_val" hidden="1" xlm="1">#NAME?</definedName>
    <definedName name="_xlpm.price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eb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t" hidden="1" xlm="1">#NAME?</definedName>
    <definedName name="_xlpm.type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3" hidden="1">tables!$A$1:$A$868</definedName>
    <definedName name="ExternalData_2" localSheetId="3" hidden="1">tables!$C$1:$C$1265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" l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C37" i="3"/>
  <c r="C36" i="3"/>
  <c r="K35" i="3" a="1"/>
  <c r="K35" i="3" s="1"/>
  <c r="L35" i="3" s="1"/>
  <c r="M35" i="3" s="1"/>
  <c r="H35" i="3"/>
  <c r="G35" i="3"/>
  <c r="E35" i="3"/>
  <c r="C35" i="3"/>
  <c r="K34" i="3" a="1"/>
  <c r="K34" i="3" s="1"/>
  <c r="L34" i="3" s="1"/>
  <c r="M34" i="3" s="1"/>
  <c r="H34" i="3"/>
  <c r="G34" i="3"/>
  <c r="E34" i="3"/>
  <c r="C34" i="3"/>
  <c r="K33" i="3" a="1"/>
  <c r="K33" i="3" s="1"/>
  <c r="L33" i="3" s="1"/>
  <c r="M33" i="3" s="1"/>
  <c r="H33" i="3"/>
  <c r="G33" i="3"/>
  <c r="E33" i="3"/>
  <c r="C33" i="3"/>
  <c r="K32" i="3" a="1"/>
  <c r="K32" i="3" s="1"/>
  <c r="L32" i="3" s="1"/>
  <c r="M32" i="3" s="1"/>
  <c r="H32" i="3"/>
  <c r="G32" i="3"/>
  <c r="E32" i="3"/>
  <c r="C32" i="3"/>
  <c r="K31" i="3" a="1"/>
  <c r="K31" i="3" s="1"/>
  <c r="H31" i="3"/>
  <c r="G31" i="3"/>
  <c r="E31" i="3"/>
  <c r="C31" i="3"/>
  <c r="K30" i="3" a="1"/>
  <c r="K30" i="3" s="1"/>
  <c r="H30" i="3"/>
  <c r="G30" i="3"/>
  <c r="E30" i="3"/>
  <c r="C30" i="3"/>
  <c r="K29" i="3" a="1"/>
  <c r="K29" i="3" s="1"/>
  <c r="L29" i="3" s="1"/>
  <c r="M29" i="3" s="1"/>
  <c r="H29" i="3"/>
  <c r="G29" i="3"/>
  <c r="E29" i="3"/>
  <c r="C29" i="3"/>
  <c r="K28" i="3" a="1"/>
  <c r="K28" i="3" s="1"/>
  <c r="L28" i="3" s="1"/>
  <c r="M28" i="3" s="1"/>
  <c r="H28" i="3"/>
  <c r="G28" i="3"/>
  <c r="E28" i="3"/>
  <c r="C28" i="3"/>
  <c r="K27" i="3" a="1"/>
  <c r="K27" i="3" s="1"/>
  <c r="L27" i="3" s="1"/>
  <c r="M27" i="3" s="1"/>
  <c r="H27" i="3"/>
  <c r="G27" i="3"/>
  <c r="E27" i="3"/>
  <c r="C27" i="3"/>
  <c r="K26" i="3" a="1"/>
  <c r="K26" i="3" s="1"/>
  <c r="L26" i="3" s="1"/>
  <c r="M26" i="3" s="1"/>
  <c r="H26" i="3"/>
  <c r="G26" i="3"/>
  <c r="Y25" i="3"/>
  <c r="X25" i="3"/>
  <c r="Y24" i="3"/>
  <c r="X24" i="3"/>
  <c r="Y23" i="3"/>
  <c r="X23" i="3"/>
  <c r="Y22" i="3"/>
  <c r="X22" i="3"/>
  <c r="R20" i="3"/>
  <c r="L20" i="3" a="1"/>
  <c r="L20" i="3" s="1"/>
  <c r="M20" i="3" s="1"/>
  <c r="I20" i="3" a="1"/>
  <c r="I20" i="3" s="1"/>
  <c r="J20" i="3" s="1"/>
  <c r="R19" i="3"/>
  <c r="L19" i="3" a="1"/>
  <c r="L19" i="3" s="1"/>
  <c r="M19" i="3" s="1"/>
  <c r="I19" i="3" a="1"/>
  <c r="I19" i="3" s="1"/>
  <c r="J19" i="3" s="1"/>
  <c r="R18" i="3"/>
  <c r="L18" i="3" a="1"/>
  <c r="L18" i="3" s="1"/>
  <c r="M18" i="3" s="1"/>
  <c r="I18" i="3" a="1"/>
  <c r="I18" i="3" s="1"/>
  <c r="J18" i="3" s="1"/>
  <c r="R17" i="3"/>
  <c r="L17" i="3" a="1"/>
  <c r="L17" i="3" s="1"/>
  <c r="M17" i="3" s="1"/>
  <c r="I17" i="3" a="1"/>
  <c r="I17" i="3" s="1"/>
  <c r="J17" i="3" s="1"/>
  <c r="R13" i="3"/>
  <c r="L13" i="3" a="1"/>
  <c r="L13" i="3" s="1"/>
  <c r="M13" i="3" s="1"/>
  <c r="I13" i="3" a="1"/>
  <c r="I13" i="3" s="1"/>
  <c r="J13" i="3" s="1"/>
  <c r="N13" i="3" s="1"/>
  <c r="E13" i="3"/>
  <c r="R12" i="3"/>
  <c r="L12" i="3" a="1"/>
  <c r="L12" i="3" s="1"/>
  <c r="M12" i="3" s="1"/>
  <c r="I12" i="3" a="1"/>
  <c r="I12" i="3" s="1"/>
  <c r="J12" i="3" s="1"/>
  <c r="N12" i="3" s="1"/>
  <c r="E12" i="3"/>
  <c r="R11" i="3"/>
  <c r="L11" i="3" a="1"/>
  <c r="L11" i="3" s="1"/>
  <c r="M11" i="3" s="1"/>
  <c r="I11" i="3" a="1"/>
  <c r="I11" i="3" s="1"/>
  <c r="J11" i="3" s="1"/>
  <c r="N11" i="3" s="1"/>
  <c r="E11" i="3"/>
  <c r="R10" i="3"/>
  <c r="L10" i="3" a="1"/>
  <c r="L10" i="3" s="1"/>
  <c r="M10" i="3" s="1"/>
  <c r="I10" i="3" a="1"/>
  <c r="I10" i="3" s="1"/>
  <c r="J10" i="3" s="1"/>
  <c r="N10" i="3" s="1"/>
  <c r="E10" i="3"/>
  <c r="R6" i="3"/>
  <c r="L6" i="3" a="1"/>
  <c r="L6" i="3" s="1"/>
  <c r="M6" i="3" s="1"/>
  <c r="I6" i="3" a="1"/>
  <c r="I6" i="3" s="1"/>
  <c r="J6" i="3" s="1"/>
  <c r="N6" i="3" s="1"/>
  <c r="R5" i="3"/>
  <c r="L5" i="3" a="1"/>
  <c r="L5" i="3" s="1"/>
  <c r="M5" i="3" s="1"/>
  <c r="I5" i="3" a="1"/>
  <c r="I5" i="3" s="1"/>
  <c r="J5" i="3" s="1"/>
  <c r="N5" i="3" s="1"/>
  <c r="R4" i="3"/>
  <c r="L4" i="3" a="1"/>
  <c r="L4" i="3" s="1"/>
  <c r="M4" i="3" s="1"/>
  <c r="I4" i="3" a="1"/>
  <c r="I4" i="3" s="1"/>
  <c r="J4" i="3" s="1"/>
  <c r="N4" i="3" s="1"/>
  <c r="R3" i="3"/>
  <c r="L3" i="3" a="1"/>
  <c r="L3" i="3" s="1"/>
  <c r="M3" i="3" s="1"/>
  <c r="I3" i="3" a="1"/>
  <c r="I3" i="3" s="1"/>
  <c r="J3" i="3" s="1"/>
  <c r="N3" i="3" s="1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/>
  <c r="C7" i="1" a="1"/>
  <c r="C7" i="1" s="1"/>
  <c r="C6" i="1" a="1"/>
  <c r="C6" i="1" s="1"/>
  <c r="Y10" i="9" l="1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O10" i="3"/>
  <c r="P10" i="3" s="1"/>
  <c r="O13" i="3"/>
  <c r="P13" i="3" s="1"/>
  <c r="O4" i="3"/>
  <c r="P4" i="3" s="1"/>
  <c r="O11" i="3"/>
  <c r="P11" i="3" s="1"/>
  <c r="O5" i="3"/>
  <c r="P5" i="3" s="1"/>
  <c r="O6" i="3"/>
  <c r="P6" i="3" s="1"/>
  <c r="L113" i="8"/>
  <c r="B45" i="8"/>
  <c r="C49" i="8" s="1" a="1"/>
  <c r="C49" i="8" s="1"/>
  <c r="O12" i="3"/>
  <c r="P12" i="3" s="1"/>
  <c r="N9" i="5"/>
  <c r="N8" i="5"/>
  <c r="N7" i="5"/>
  <c r="N6" i="5"/>
  <c r="L31" i="3"/>
  <c r="L30" i="3"/>
  <c r="N20" i="3"/>
  <c r="N19" i="3"/>
  <c r="N18" i="3"/>
  <c r="N17" i="3"/>
  <c r="O3" i="3"/>
  <c r="P3" i="3" s="1"/>
  <c r="Z10" i="9" l="1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Q10" i="3"/>
  <c r="T10" i="3"/>
  <c r="AA10" i="3" s="1"/>
  <c r="U10" i="3"/>
  <c r="Z10" i="3" s="1"/>
  <c r="V10" i="3"/>
  <c r="Q13" i="3"/>
  <c r="W13" i="3" s="1"/>
  <c r="S13" i="3"/>
  <c r="T13" i="3"/>
  <c r="AA13" i="3" s="1"/>
  <c r="U13" i="3"/>
  <c r="Z13" i="3" s="1"/>
  <c r="V13" i="3"/>
  <c r="Q12" i="3"/>
  <c r="W12" i="3" s="1"/>
  <c r="S12" i="3"/>
  <c r="T12" i="3"/>
  <c r="AA12" i="3" s="1"/>
  <c r="O9" i="5"/>
  <c r="P9" i="5" s="1"/>
  <c r="Q9" i="5" s="1"/>
  <c r="S9" i="5" a="1"/>
  <c r="S9" i="5" s="1"/>
  <c r="Q4" i="3"/>
  <c r="T4" i="3"/>
  <c r="AA4" i="3" s="1"/>
  <c r="U4" i="3"/>
  <c r="Z4" i="3" s="1"/>
  <c r="V4" i="3"/>
  <c r="O6" i="5"/>
  <c r="P6" i="5" s="1"/>
  <c r="Q6" i="5" s="1"/>
  <c r="S6" i="5" a="1"/>
  <c r="O18" i="3"/>
  <c r="P18" i="3" s="1"/>
  <c r="Q18" i="3" s="1"/>
  <c r="S18" i="3" a="1"/>
  <c r="Q11" i="3"/>
  <c r="T11" i="3"/>
  <c r="AA11" i="3" s="1"/>
  <c r="U11" i="3"/>
  <c r="Z11" i="3" s="1"/>
  <c r="V11" i="3"/>
  <c r="Q5" i="3"/>
  <c r="T5" i="3"/>
  <c r="AA5" i="3" s="1"/>
  <c r="U5" i="3"/>
  <c r="Z5" i="3" s="1"/>
  <c r="V5" i="3"/>
  <c r="Q6" i="3"/>
  <c r="T6" i="3"/>
  <c r="AA6" i="3" s="1"/>
  <c r="U6" i="3"/>
  <c r="Z6" i="3" s="1"/>
  <c r="V6" i="3"/>
  <c r="O8" i="5"/>
  <c r="P8" i="5" s="1"/>
  <c r="Q8" i="5" s="1"/>
  <c r="S8" i="5" a="1"/>
  <c r="O17" i="3"/>
  <c r="P17" i="3" s="1"/>
  <c r="Q17" i="3" s="1"/>
  <c r="S17" i="3" a="1"/>
  <c r="M30" i="3"/>
  <c r="AC12" i="3" a="1"/>
  <c r="AC12" i="3" s="1"/>
  <c r="U12" i="3"/>
  <c r="Z12" i="3" s="1"/>
  <c r="V12" i="3"/>
  <c r="O7" i="5"/>
  <c r="P7" i="5" s="1"/>
  <c r="Q7" i="5" s="1"/>
  <c r="S7" i="5" a="1"/>
  <c r="M31" i="3"/>
  <c r="O19" i="3"/>
  <c r="P19" i="3" s="1"/>
  <c r="Q19" i="3" s="1"/>
  <c r="S19" i="3" a="1"/>
  <c r="V3" i="3"/>
  <c r="U3" i="3"/>
  <c r="T3" i="3"/>
  <c r="Q3" i="3"/>
  <c r="O20" i="3"/>
  <c r="P20" i="3" s="1"/>
  <c r="Q20" i="3" s="1"/>
  <c r="S20" i="3" a="1"/>
  <c r="AB9" i="9" l="1"/>
  <c r="W4" i="3"/>
  <c r="W23" i="3" s="1"/>
  <c r="S4" i="3"/>
  <c r="V10" i="9"/>
  <c r="V9" i="9"/>
  <c r="AG13" i="3" a="1"/>
  <c r="AG13" i="3" s="1"/>
  <c r="AG12" i="3" a="1"/>
  <c r="P10" i="9"/>
  <c r="P9" i="9" s="1"/>
  <c r="AC9" i="5" a="1"/>
  <c r="AC9" i="5" s="1"/>
  <c r="AD9" i="5" s="1"/>
  <c r="Z9" i="5"/>
  <c r="I8" i="9" a="1"/>
  <c r="I8" i="9" s="1"/>
  <c r="F6" i="9"/>
  <c r="W10" i="3"/>
  <c r="S10" i="3"/>
  <c r="AA9" i="5"/>
  <c r="AB9" i="5"/>
  <c r="W11" i="3"/>
  <c r="S11" i="3"/>
  <c r="W6" i="3"/>
  <c r="W25" i="3" s="1"/>
  <c r="S6" i="3"/>
  <c r="V23" i="3"/>
  <c r="Z18" i="3"/>
  <c r="Z23" i="3" s="1"/>
  <c r="AA18" i="3"/>
  <c r="AA23" i="3" s="1"/>
  <c r="S18" i="3"/>
  <c r="T23" i="3"/>
  <c r="U23" i="3"/>
  <c r="AB6" i="5"/>
  <c r="AA6" i="5"/>
  <c r="S6" i="5"/>
  <c r="W5" i="3"/>
  <c r="W24" i="3" s="1"/>
  <c r="S5" i="3"/>
  <c r="V22" i="3"/>
  <c r="S8" i="5"/>
  <c r="AA8" i="5"/>
  <c r="AB8" i="5"/>
  <c r="S17" i="3"/>
  <c r="AB17" i="3" s="1" a="1"/>
  <c r="AB17" i="3" s="1"/>
  <c r="AC17" i="3" s="1"/>
  <c r="AA17" i="3"/>
  <c r="Z17" i="3"/>
  <c r="AC11" i="3" a="1"/>
  <c r="AC11" i="3" s="1"/>
  <c r="AC10" i="3" a="1"/>
  <c r="AC10" i="3" s="1"/>
  <c r="AC13" i="3" a="1"/>
  <c r="AG10" i="3" a="1"/>
  <c r="AG11" i="3" a="1"/>
  <c r="S19" i="3"/>
  <c r="Z19" i="3"/>
  <c r="Z24" i="3" s="1"/>
  <c r="AA19" i="3"/>
  <c r="AA24" i="3" s="1"/>
  <c r="V24" i="3"/>
  <c r="AA7" i="5"/>
  <c r="AB7" i="5"/>
  <c r="S7" i="5"/>
  <c r="T24" i="3"/>
  <c r="U24" i="3"/>
  <c r="U22" i="3"/>
  <c r="Z3" i="3"/>
  <c r="T22" i="3"/>
  <c r="AA3" i="3"/>
  <c r="V25" i="3"/>
  <c r="S20" i="3"/>
  <c r="Z20" i="3"/>
  <c r="Z25" i="3" s="1"/>
  <c r="AA20" i="3"/>
  <c r="AA25" i="3" s="1"/>
  <c r="W3" i="3"/>
  <c r="W22" i="3" s="1"/>
  <c r="S3" i="3"/>
  <c r="T25" i="3"/>
  <c r="U25" i="3"/>
  <c r="AG12" i="3" l="1"/>
  <c r="AK12" i="3"/>
  <c r="AM12" i="3" s="1"/>
  <c r="AN12" i="3" s="1"/>
  <c r="AO12" i="3" s="1"/>
  <c r="AB18" i="3" a="1"/>
  <c r="AB18" i="3" s="1"/>
  <c r="AC18" i="3" s="1"/>
  <c r="S23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S22" i="3"/>
  <c r="Z22" i="3"/>
  <c r="AA22" i="3"/>
  <c r="AC13" i="3"/>
  <c r="AK13" i="3"/>
  <c r="AM13" i="3" s="1"/>
  <c r="AN13" i="3" s="1"/>
  <c r="AO13" i="3" s="1"/>
  <c r="AK10" i="3"/>
  <c r="AM10" i="3" s="1"/>
  <c r="AN10" i="3" s="1"/>
  <c r="AO10" i="3" s="1"/>
  <c r="AG10" i="3"/>
  <c r="AK11" i="3"/>
  <c r="AM11" i="3" s="1"/>
  <c r="AN11" i="3" s="1"/>
  <c r="AO11" i="3" s="1"/>
  <c r="AG11" i="3"/>
  <c r="AB19" i="3" a="1"/>
  <c r="AB19" i="3" s="1"/>
  <c r="AC19" i="3" s="1"/>
  <c r="S24" i="3"/>
  <c r="S25" i="3"/>
  <c r="AB20" i="3" a="1"/>
  <c r="AB20" i="3" s="1"/>
  <c r="AC20" i="3" s="1"/>
  <c r="Z10" i="5" l="1"/>
  <c r="Z12" i="5" s="1"/>
  <c r="Z13" i="5" s="1"/>
  <c r="Z14" i="5" s="1"/>
  <c r="Z15" i="5" s="1"/>
  <c r="M23" i="5" s="1"/>
  <c r="M26" i="5" l="1"/>
  <c r="M28" i="5"/>
  <c r="M27" i="5"/>
  <c r="M29" i="5"/>
  <c r="S27" i="5" l="1" a="1"/>
  <c r="O27" i="5"/>
  <c r="P27" i="5" s="1"/>
  <c r="Q27" i="5" s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S27" i="5" l="1"/>
  <c r="AA27" i="5"/>
  <c r="AB27" i="5"/>
  <c r="S26" i="5"/>
  <c r="AA26" i="5"/>
  <c r="AB26" i="5"/>
  <c r="AA28" i="5"/>
  <c r="S28" i="5"/>
  <c r="AB28" i="5"/>
  <c r="S29" i="5"/>
  <c r="Z29" i="5" s="1"/>
  <c r="AA29" i="5"/>
  <c r="AB29" i="5"/>
  <c r="AC29" i="5" a="1"/>
  <c r="AC29" i="5" s="1"/>
  <c r="AD29" i="5" s="1"/>
  <c r="Z27" i="5" l="1"/>
  <c r="AC27" i="5" a="1"/>
  <c r="AC27" i="5" s="1"/>
  <c r="AD27" i="5" s="1"/>
  <c r="AC28" i="5" a="1"/>
  <c r="AC28" i="5" s="1"/>
  <c r="AD28" i="5" s="1"/>
  <c r="Z28" i="5"/>
  <c r="Z26" i="5"/>
  <c r="AC26" i="5" a="1"/>
  <c r="AC26" i="5" s="1"/>
  <c r="AD26" i="5" s="1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<sst xmlns="http://schemas.openxmlformats.org/spreadsheetml/2006/main" count="362" uniqueCount="156">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</sst>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00000"/>
    <numFmt numFmtId="182" formatCode="#,##0.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75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0" fontId="1" fillId="0" borderId="0" xfId="0" applyFont="1" applyAlignment="1">
      <alignment horizontal="center"/>
    </xf>
    <xf numFmtId="0" fontId="1" fillId="0" borderId="2" xfId="0" applyFont="1" applyFill="1" applyBorder="1"/>
    <xf numFmtId="0" fontId="1" fillId="0" borderId="3" xfId="0" applyFont="1" applyFill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0" fontId="0" fillId="0" borderId="0" xfId="0" applyBorder="1"/>
    <xf numFmtId="4" fontId="0" fillId="0" borderId="0" xfId="0" applyNumberFormat="1" applyBorder="1"/>
    <xf numFmtId="182" fontId="0" fillId="0" borderId="0" xfId="0" applyNumberFormat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3" totalsRowShown="0">
  <autoFilter ref="B4:C23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F18" sqref="F18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142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141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146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151</v>
      </c>
      <c r="C22" t="e" vm="1">
        <f>_xlfn.LAMBDA(1E+300)</f>
        <v>#VALUE!</v>
      </c>
    </row>
    <row r="23" spans="2:7" x14ac:dyDescent="0.25">
      <c r="B23" t="s">
        <v>152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74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13" zoomScale="85" zoomScaleNormal="85" workbookViewId="0">
      <selection activeCell="F31" sqref="F3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1" cm="1">
        <f t="array" ref="B122:B130">_xlfn.SEQUENCE(9,,1)</f>
        <v>1</v>
      </c>
      <c r="C122" s="62">
        <v>0.4</v>
      </c>
      <c r="D122" s="3"/>
      <c r="E122" s="61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1">
        <v>2</v>
      </c>
      <c r="C123" s="62">
        <v>0.5</v>
      </c>
      <c r="D123" s="3"/>
      <c r="E123" s="61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1">
        <v>3</v>
      </c>
      <c r="C124" s="62">
        <v>0.8</v>
      </c>
      <c r="D124" s="3"/>
      <c r="E124" s="61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1">
        <v>4</v>
      </c>
      <c r="C125" s="62">
        <v>0.4</v>
      </c>
      <c r="D125" s="3"/>
      <c r="E125" s="61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1">
        <v>5</v>
      </c>
      <c r="C126" s="62">
        <v>0.3</v>
      </c>
      <c r="D126" s="3"/>
      <c r="E126" s="61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1">
        <v>6</v>
      </c>
      <c r="C127" s="62">
        <v>0.1</v>
      </c>
      <c r="D127" s="3"/>
      <c r="E127" s="61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1">
        <v>7</v>
      </c>
      <c r="C128" s="62">
        <v>0.2</v>
      </c>
      <c r="E128" s="61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1">
        <v>8</v>
      </c>
      <c r="C129" s="62">
        <v>0.6</v>
      </c>
      <c r="E129" s="61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1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1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1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1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1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1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1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1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1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1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1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1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1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1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1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1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1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1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1">
        <v>3.6000000000000023</v>
      </c>
      <c r="F148" s="42">
        <v>0.58122709867452027</v>
      </c>
      <c r="H148" s="16"/>
      <c r="I148" s="3"/>
    </row>
    <row r="149" spans="4:9" x14ac:dyDescent="0.25">
      <c r="E149" s="61">
        <v>3.7000000000000024</v>
      </c>
      <c r="F149" s="42">
        <v>0.53021990979381317</v>
      </c>
      <c r="H149" s="16"/>
      <c r="I149" s="3"/>
    </row>
    <row r="150" spans="4:9" x14ac:dyDescent="0.25">
      <c r="E150" s="61">
        <v>3.8000000000000025</v>
      </c>
      <c r="F150" s="42">
        <v>0.48142179675993996</v>
      </c>
      <c r="H150" s="16"/>
      <c r="I150" s="3"/>
    </row>
    <row r="151" spans="4:9" x14ac:dyDescent="0.25">
      <c r="E151" s="61">
        <v>3.9000000000000026</v>
      </c>
      <c r="F151" s="42">
        <v>0.4372195600147265</v>
      </c>
      <c r="H151" s="16"/>
      <c r="I151" s="3"/>
    </row>
    <row r="152" spans="4:9" x14ac:dyDescent="0.25">
      <c r="E152" s="61">
        <v>4.0000000000000027</v>
      </c>
      <c r="F152" s="42">
        <v>0.39999999999999913</v>
      </c>
      <c r="H152" s="16"/>
      <c r="I152" s="3"/>
    </row>
    <row r="153" spans="4:9" x14ac:dyDescent="0.25">
      <c r="E153" s="61">
        <v>4.1000000000000023</v>
      </c>
      <c r="F153" s="42">
        <v>0.37151296944035295</v>
      </c>
      <c r="H153" s="16"/>
      <c r="I153" s="3"/>
    </row>
    <row r="154" spans="4:9" x14ac:dyDescent="0.25">
      <c r="E154" s="61">
        <v>4.200000000000002</v>
      </c>
      <c r="F154" s="42">
        <v>0.35096053019145773</v>
      </c>
      <c r="H154" s="16"/>
      <c r="I154" s="3"/>
    </row>
    <row r="155" spans="4:9" x14ac:dyDescent="0.25">
      <c r="E155" s="61">
        <v>4.3000000000000016</v>
      </c>
      <c r="F155" s="42">
        <v>0.33690779639175239</v>
      </c>
      <c r="H155" s="16"/>
      <c r="I155" s="3"/>
    </row>
    <row r="156" spans="4:9" x14ac:dyDescent="0.25">
      <c r="E156" s="61">
        <v>4.4000000000000012</v>
      </c>
      <c r="F156" s="42">
        <v>0.32791988217967588</v>
      </c>
      <c r="H156" s="16"/>
      <c r="I156" s="3"/>
    </row>
    <row r="157" spans="4:9" x14ac:dyDescent="0.25">
      <c r="E157" s="61">
        <v>4.5000000000000009</v>
      </c>
      <c r="F157" s="42">
        <v>0.32256190169366711</v>
      </c>
      <c r="H157" s="16"/>
      <c r="I157" s="3"/>
    </row>
    <row r="158" spans="4:9" x14ac:dyDescent="0.25">
      <c r="E158" s="61">
        <v>4.6000000000000005</v>
      </c>
      <c r="F158" s="42">
        <v>0.31939896907216492</v>
      </c>
      <c r="H158" s="16"/>
      <c r="I158" s="3"/>
    </row>
    <row r="159" spans="4:9" x14ac:dyDescent="0.25">
      <c r="E159" s="61">
        <v>4.7</v>
      </c>
      <c r="F159" s="42">
        <v>0.31699619845360827</v>
      </c>
      <c r="H159" s="16"/>
      <c r="I159" s="3"/>
    </row>
    <row r="160" spans="4:9" x14ac:dyDescent="0.25">
      <c r="E160" s="61">
        <v>4.8</v>
      </c>
      <c r="F160" s="42">
        <v>0.3139187039764359</v>
      </c>
      <c r="H160" s="16"/>
      <c r="I160" s="3"/>
    </row>
    <row r="161" spans="5:9" x14ac:dyDescent="0.25">
      <c r="E161" s="61">
        <v>4.8999999999999995</v>
      </c>
      <c r="F161" s="42">
        <v>0.30873159977908687</v>
      </c>
      <c r="H161" s="16"/>
      <c r="I161" s="3"/>
    </row>
    <row r="162" spans="5:9" x14ac:dyDescent="0.25">
      <c r="E162" s="61">
        <v>4.9999999999999991</v>
      </c>
      <c r="F162" s="42">
        <v>0.30000000000000004</v>
      </c>
      <c r="H162" s="16"/>
      <c r="I162" s="3"/>
    </row>
    <row r="163" spans="5:9" x14ac:dyDescent="0.25">
      <c r="E163" s="61">
        <v>5.0999999999999988</v>
      </c>
      <c r="F163" s="42">
        <v>0.28668695692194424</v>
      </c>
      <c r="H163" s="16"/>
      <c r="I163" s="3"/>
    </row>
    <row r="164" spans="5:9" x14ac:dyDescent="0.25">
      <c r="E164" s="61">
        <v>5.1999999999999984</v>
      </c>
      <c r="F164" s="42">
        <v>0.26934727540500764</v>
      </c>
      <c r="H164" s="16"/>
      <c r="I164" s="3"/>
    </row>
    <row r="165" spans="5:9" x14ac:dyDescent="0.25">
      <c r="E165" s="61">
        <v>5.299999999999998</v>
      </c>
      <c r="F165" s="42">
        <v>0.24893369845360866</v>
      </c>
      <c r="H165" s="16"/>
      <c r="I165" s="3"/>
    </row>
    <row r="166" spans="5:9" x14ac:dyDescent="0.25">
      <c r="E166" s="61">
        <v>5.3999999999999977</v>
      </c>
      <c r="F166" s="42">
        <v>0.22639896907216547</v>
      </c>
      <c r="H166" s="16"/>
      <c r="I166" s="3"/>
    </row>
    <row r="167" spans="5:9" x14ac:dyDescent="0.25">
      <c r="E167" s="61">
        <v>5.4999999999999973</v>
      </c>
      <c r="F167" s="42">
        <v>0.20269583026509636</v>
      </c>
      <c r="H167" s="16"/>
      <c r="I167" s="3"/>
    </row>
    <row r="168" spans="5:9" x14ac:dyDescent="0.25">
      <c r="E168" s="61">
        <v>5.599999999999997</v>
      </c>
      <c r="F168" s="42">
        <v>0.17877702503681955</v>
      </c>
      <c r="H168" s="16"/>
      <c r="I168" s="3"/>
    </row>
    <row r="169" spans="5:9" x14ac:dyDescent="0.25">
      <c r="E169" s="61">
        <v>5.6999999999999966</v>
      </c>
      <c r="F169" s="42">
        <v>0.15559529639175332</v>
      </c>
      <c r="H169" s="16"/>
      <c r="I169" s="3"/>
    </row>
    <row r="170" spans="5:9" x14ac:dyDescent="0.25">
      <c r="E170" s="61">
        <v>5.7999999999999963</v>
      </c>
      <c r="F170" s="42">
        <v>0.13410338733431593</v>
      </c>
      <c r="H170" s="16"/>
      <c r="I170" s="3"/>
    </row>
    <row r="171" spans="5:9" x14ac:dyDescent="0.25">
      <c r="E171" s="61">
        <v>5.8999999999999959</v>
      </c>
      <c r="F171" s="42">
        <v>0.1152540408689256</v>
      </c>
      <c r="H171" s="16"/>
      <c r="I171" s="3"/>
    </row>
    <row r="172" spans="5:9" x14ac:dyDescent="0.25">
      <c r="E172" s="61">
        <v>5.9999999999999956</v>
      </c>
      <c r="F172" s="42">
        <v>0.10000000000000059</v>
      </c>
      <c r="H172" s="16"/>
      <c r="I172" s="3"/>
    </row>
    <row r="173" spans="5:9" x14ac:dyDescent="0.25">
      <c r="E173" s="61">
        <v>6.0999999999999952</v>
      </c>
      <c r="F173" s="42">
        <v>8.9139202871870826E-2</v>
      </c>
      <c r="H173" s="16"/>
      <c r="I173" s="3"/>
    </row>
    <row r="174" spans="5:9" x14ac:dyDescent="0.25">
      <c r="E174" s="61">
        <v>6.1999999999999948</v>
      </c>
      <c r="F174" s="42">
        <v>8.2850368188512741E-2</v>
      </c>
      <c r="H174" s="16"/>
      <c r="I174" s="3"/>
    </row>
    <row r="175" spans="5:9" x14ac:dyDescent="0.25">
      <c r="E175" s="61">
        <v>6.2999999999999945</v>
      </c>
      <c r="F175" s="42">
        <v>8.1157409793814417E-2</v>
      </c>
      <c r="H175" s="16"/>
      <c r="I175" s="3"/>
    </row>
    <row r="176" spans="5:9" x14ac:dyDescent="0.25">
      <c r="E176" s="61">
        <v>6.3999999999999941</v>
      </c>
      <c r="F176" s="42">
        <v>8.4084241531663925E-2</v>
      </c>
      <c r="H176" s="16"/>
      <c r="I176" s="3"/>
    </row>
    <row r="177" spans="5:9" x14ac:dyDescent="0.25">
      <c r="E177" s="61">
        <v>6.4999999999999938</v>
      </c>
      <c r="F177" s="42">
        <v>9.1654777245949337E-2</v>
      </c>
      <c r="H177" s="16"/>
      <c r="I177" s="3"/>
    </row>
    <row r="178" spans="5:9" x14ac:dyDescent="0.25">
      <c r="E178" s="61">
        <v>6.5999999999999934</v>
      </c>
      <c r="F178" s="42">
        <v>0.10389293078055871</v>
      </c>
      <c r="H178" s="16"/>
      <c r="I178" s="3"/>
    </row>
    <row r="179" spans="5:9" x14ac:dyDescent="0.25">
      <c r="E179" s="61">
        <v>6.6999999999999931</v>
      </c>
      <c r="F179" s="42">
        <v>0.12082261597938013</v>
      </c>
      <c r="H179" s="16"/>
      <c r="I179" s="3"/>
    </row>
    <row r="180" spans="5:9" x14ac:dyDescent="0.25">
      <c r="E180" s="61">
        <v>6.7999999999999927</v>
      </c>
      <c r="F180" s="42">
        <v>0.14246774668630163</v>
      </c>
      <c r="H180" s="16"/>
      <c r="I180" s="3"/>
    </row>
    <row r="181" spans="5:9" x14ac:dyDescent="0.25">
      <c r="E181" s="61">
        <v>6.8999999999999924</v>
      </c>
      <c r="F181" s="42">
        <v>0.16885223674521135</v>
      </c>
      <c r="H181" s="16"/>
      <c r="I181" s="3"/>
    </row>
    <row r="182" spans="5:9" x14ac:dyDescent="0.25">
      <c r="E182" s="61">
        <v>6.999999999999992</v>
      </c>
      <c r="F182" s="42">
        <v>0.19999999999999735</v>
      </c>
      <c r="H182" s="16"/>
      <c r="I182" s="3"/>
    </row>
    <row r="183" spans="5:9" x14ac:dyDescent="0.25">
      <c r="E183" s="61">
        <v>7.0999999999999917</v>
      </c>
      <c r="F183" s="42">
        <v>0.23575623159057124</v>
      </c>
      <c r="H183" s="16"/>
      <c r="I183" s="3"/>
    </row>
    <row r="184" spans="5:9" x14ac:dyDescent="0.25">
      <c r="E184" s="61">
        <v>7.1999999999999913</v>
      </c>
      <c r="F184" s="42">
        <v>0.27525125184093902</v>
      </c>
      <c r="H184" s="16"/>
      <c r="I184" s="3"/>
    </row>
    <row r="185" spans="5:9" x14ac:dyDescent="0.25">
      <c r="E185" s="61">
        <v>7.2999999999999909</v>
      </c>
      <c r="F185" s="42">
        <v>0.31743666237113011</v>
      </c>
      <c r="H185" s="16"/>
      <c r="I185" s="3"/>
    </row>
    <row r="186" spans="5:9" x14ac:dyDescent="0.25">
      <c r="E186" s="61">
        <v>7.3999999999999906</v>
      </c>
      <c r="F186" s="42">
        <v>0.36126406480117401</v>
      </c>
      <c r="H186" s="16"/>
      <c r="I186" s="3"/>
    </row>
    <row r="187" spans="5:9" x14ac:dyDescent="0.25">
      <c r="E187" s="61">
        <v>7.4999999999999902</v>
      </c>
      <c r="F187" s="42">
        <v>0.40568506075110022</v>
      </c>
      <c r="H187" s="16"/>
      <c r="I187" s="3"/>
    </row>
    <row r="188" spans="5:9" x14ac:dyDescent="0.25">
      <c r="E188" s="61">
        <v>7.5999999999999899</v>
      </c>
      <c r="F188" s="42">
        <v>0.44965125184093813</v>
      </c>
      <c r="H188" s="16"/>
      <c r="I188" s="3"/>
    </row>
    <row r="189" spans="5:9" x14ac:dyDescent="0.25">
      <c r="E189" s="61">
        <v>7.6999999999999895</v>
      </c>
      <c r="F189" s="42">
        <v>0.49211423969071733</v>
      </c>
      <c r="H189" s="16"/>
      <c r="I189" s="3"/>
    </row>
    <row r="190" spans="5:9" x14ac:dyDescent="0.25">
      <c r="E190" s="61">
        <v>7.7999999999999892</v>
      </c>
      <c r="F190" s="42">
        <v>0.53202562592046709</v>
      </c>
      <c r="H190" s="16"/>
      <c r="I190" s="3"/>
    </row>
    <row r="191" spans="5:9" x14ac:dyDescent="0.25">
      <c r="E191" s="61">
        <v>7.8999999999999888</v>
      </c>
      <c r="F191" s="42">
        <v>0.56833701215021704</v>
      </c>
      <c r="H191" s="16"/>
      <c r="I191" s="3"/>
    </row>
    <row r="192" spans="5:9" x14ac:dyDescent="0.25">
      <c r="E192" s="61">
        <v>7.9999999999999885</v>
      </c>
      <c r="F192" s="42">
        <v>0.59999999999999654</v>
      </c>
      <c r="H192" s="16"/>
      <c r="I192" s="3"/>
    </row>
    <row r="193" spans="5:9" x14ac:dyDescent="0.25">
      <c r="E193" s="61">
        <v>8.099999999999989</v>
      </c>
      <c r="F193" s="42">
        <v>0.62623587076582954</v>
      </c>
      <c r="H193" s="16"/>
      <c r="I193" s="3"/>
    </row>
    <row r="194" spans="5:9" x14ac:dyDescent="0.25">
      <c r="E194" s="61">
        <v>8.1999999999999886</v>
      </c>
      <c r="F194" s="42">
        <v>0.64734462444771512</v>
      </c>
      <c r="H194" s="16"/>
      <c r="I194" s="3"/>
    </row>
    <row r="195" spans="5:9" x14ac:dyDescent="0.25">
      <c r="E195" s="61">
        <v>8.2999999999999883</v>
      </c>
      <c r="F195" s="42">
        <v>0.66389594072164781</v>
      </c>
      <c r="H195" s="16"/>
      <c r="I195" s="3"/>
    </row>
    <row r="196" spans="5:9" x14ac:dyDescent="0.25">
      <c r="E196" s="61">
        <v>8.3999999999999879</v>
      </c>
      <c r="F196" s="42">
        <v>0.6764594992636217</v>
      </c>
      <c r="H196" s="16"/>
      <c r="I196" s="3"/>
    </row>
    <row r="197" spans="5:9" x14ac:dyDescent="0.25">
      <c r="E197" s="61">
        <v>8.4999999999999876</v>
      </c>
      <c r="F197" s="42">
        <v>0.68560497974963086</v>
      </c>
      <c r="H197" s="16"/>
      <c r="I197" s="3"/>
    </row>
    <row r="198" spans="5:9" x14ac:dyDescent="0.25">
      <c r="E198" s="61">
        <v>8.5999999999999872</v>
      </c>
      <c r="F198" s="42">
        <v>0.69190206185566938</v>
      </c>
      <c r="H198" s="16"/>
      <c r="I198" s="3"/>
    </row>
    <row r="199" spans="5:9" x14ac:dyDescent="0.25">
      <c r="E199" s="61">
        <v>8.6999999999999869</v>
      </c>
      <c r="F199" s="42">
        <v>0.69592042525773157</v>
      </c>
      <c r="H199" s="16"/>
      <c r="I199" s="3"/>
    </row>
    <row r="200" spans="5:9" x14ac:dyDescent="0.25">
      <c r="E200" s="61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tabSelected="1" zoomScale="85" zoomScaleNormal="85" workbookViewId="0">
      <selection activeCell="F28" sqref="F28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4" t="s">
        <v>130</v>
      </c>
      <c r="V3"/>
    </row>
    <row r="4" spans="2:31" x14ac:dyDescent="0.25">
      <c r="L4" s="14" t="s">
        <v>155</v>
      </c>
    </row>
    <row r="5" spans="2:31" x14ac:dyDescent="0.25">
      <c r="B5" s="32" t="s">
        <v>132</v>
      </c>
      <c r="C5" s="34" t="s">
        <v>131</v>
      </c>
      <c r="E5" s="32" t="s">
        <v>133</v>
      </c>
      <c r="F5" s="34" t="s">
        <v>131</v>
      </c>
      <c r="H5" s="32" t="s">
        <v>135</v>
      </c>
      <c r="I5" s="39"/>
      <c r="L5" s="29" t="s">
        <v>121</v>
      </c>
      <c r="M5" s="24">
        <v>-2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5"/>
    </row>
    <row r="6" spans="2:31" x14ac:dyDescent="0.25">
      <c r="B6" s="30" cm="1">
        <f t="array" ref="B6:B18">_xlfn.SEQUENCE(13,,-2)</f>
        <v>-2</v>
      </c>
      <c r="C6" s="26" cm="1">
        <f t="array" ref="C6:C18">_xlfn.ANCHORARRAY(B6)^3+10</f>
        <v>2</v>
      </c>
      <c r="E6" s="61" cm="1">
        <f t="array" ref="E6:E17">_xlfn.DROP(_xlfn.ANCHORARRAY(B6),1)+(_xlfn.DROP(_xlfn.ANCHORARRAY(B6),-1)-_xlfn.DROP(_xlfn.ANCHORARRAY(B6),1))/2</f>
        <v>-1.5</v>
      </c>
      <c r="F6" s="62" cm="1">
        <f t="array" ref="F6:F17">_xlfn.ANCHORARRAY(E6)^3+10</f>
        <v>6.625</v>
      </c>
      <c r="H6" s="21" t="s">
        <v>134</v>
      </c>
      <c r="I6" s="63" cm="1">
        <f t="array" ref="I6">SUM((_xlfn.DROP(_xlfn.ANCHORARRAY(B6),1)-_xlfn.DROP(_xlfn.ANCHORARRAY(B6),-1))*_xlfn.DROP(_xlfn.ANCHORARRAY(C6),-1))</f>
        <v>2136</v>
      </c>
      <c r="L6" s="30" t="s">
        <v>85</v>
      </c>
      <c r="M6" s="72">
        <v>10</v>
      </c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26"/>
    </row>
    <row r="7" spans="2:31" x14ac:dyDescent="0.25">
      <c r="B7" s="30">
        <v>-1</v>
      </c>
      <c r="C7" s="26">
        <v>9</v>
      </c>
      <c r="E7" s="61">
        <v>-0.5</v>
      </c>
      <c r="F7" s="62">
        <v>9.875</v>
      </c>
      <c r="H7" s="22" t="s">
        <v>136</v>
      </c>
      <c r="I7" s="64" cm="1">
        <f t="array" ref="I7">SUM((_xlfn.DROP(_xlfn.ANCHORARRAY(B6),1)-_xlfn.DROP(_xlfn.ANCHORARRAY(B6),-1))*_xlfn.DROP(_xlfn.ANCHORARRAY(C6),1))</f>
        <v>3144</v>
      </c>
      <c r="L7" s="30" t="s">
        <v>143</v>
      </c>
      <c r="M7" s="72">
        <v>4</v>
      </c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26"/>
      <c r="AE7" s="3"/>
    </row>
    <row r="8" spans="2:31" x14ac:dyDescent="0.25">
      <c r="B8" s="30">
        <v>0</v>
      </c>
      <c r="C8" s="26">
        <v>10</v>
      </c>
      <c r="E8" s="61">
        <v>0.5</v>
      </c>
      <c r="F8" s="62">
        <v>10.125</v>
      </c>
      <c r="H8" s="22" t="s">
        <v>137</v>
      </c>
      <c r="I8" s="64" cm="1">
        <f t="array" ref="I8">SUM((_xlfn.DROP(_xlfn.ANCHORARRAY(B6),1)-_xlfn.DROP(_xlfn.ANCHORARRAY(B6),-1))*_xlfn.ANCHORARRAY(F6))</f>
        <v>2604</v>
      </c>
      <c r="L8" s="30" t="s">
        <v>147</v>
      </c>
      <c r="M8" s="72">
        <v>2</v>
      </c>
      <c r="N8" s="72"/>
      <c r="O8" s="72"/>
      <c r="P8" s="72"/>
      <c r="Q8" s="72"/>
      <c r="R8" s="72" t="s">
        <v>147</v>
      </c>
      <c r="S8" s="72">
        <v>3</v>
      </c>
      <c r="T8" s="72"/>
      <c r="U8" s="72"/>
      <c r="V8" s="72"/>
      <c r="W8" s="72"/>
      <c r="X8" s="72" t="s">
        <v>147</v>
      </c>
      <c r="Y8" s="72">
        <v>4</v>
      </c>
      <c r="Z8" s="72"/>
      <c r="AA8" s="72"/>
      <c r="AB8" s="72"/>
      <c r="AC8" s="26"/>
    </row>
    <row r="9" spans="2:31" x14ac:dyDescent="0.25">
      <c r="B9" s="30">
        <v>1</v>
      </c>
      <c r="C9" s="26">
        <v>11</v>
      </c>
      <c r="E9" s="61">
        <v>1.5</v>
      </c>
      <c r="F9" s="62">
        <v>13.375</v>
      </c>
      <c r="H9" s="22" t="s">
        <v>138</v>
      </c>
      <c r="I9" s="64" cm="1">
        <f t="array" ref="I9">SUM((_xlfn.DROP(_xlfn.ANCHORARRAY(C6),1)+_xlfn.DROP(_xlfn.ANCHORARRAY(C6),-1))*(_xlfn.DROP(_xlfn.ANCHORARRAY(B6),1)-_xlfn.DROP(_xlfn.ANCHORARRAY(B6),-1))/2)</f>
        <v>2640</v>
      </c>
      <c r="L9" s="30" t="s">
        <v>144</v>
      </c>
      <c r="M9" s="73">
        <f>($M$6-$M$5)/($M$7)/M8</f>
        <v>1.5</v>
      </c>
      <c r="N9" s="72"/>
      <c r="O9" s="72"/>
      <c r="P9" s="73">
        <f>SUM(_xlfn.ANCHORARRAY(P10))</f>
        <v>2616</v>
      </c>
      <c r="Q9" s="72"/>
      <c r="R9" s="72" t="s">
        <v>144</v>
      </c>
      <c r="S9" s="73">
        <f>($M$6-$M$5)/($M$7)/S8</f>
        <v>1</v>
      </c>
      <c r="T9" s="72"/>
      <c r="U9" s="72"/>
      <c r="V9" s="73">
        <f>SUM(_xlfn.ANCHORARRAY(V10))</f>
        <v>2616</v>
      </c>
      <c r="W9" s="72"/>
      <c r="X9" s="72" t="s">
        <v>144</v>
      </c>
      <c r="Y9" s="73">
        <f>($M$6-$M$5)/($M$7)/Y8</f>
        <v>0.75</v>
      </c>
      <c r="Z9" s="72"/>
      <c r="AA9" s="72"/>
      <c r="AB9" s="73">
        <f>SUM(_xlfn.ANCHORARRAY(AB10))</f>
        <v>2616</v>
      </c>
      <c r="AC9" s="26"/>
    </row>
    <row r="10" spans="2:31" x14ac:dyDescent="0.25">
      <c r="B10" s="30">
        <v>2</v>
      </c>
      <c r="C10" s="26">
        <v>18</v>
      </c>
      <c r="E10" s="61">
        <v>2.5</v>
      </c>
      <c r="F10" s="62">
        <v>25.625</v>
      </c>
      <c r="H10" s="22" t="s">
        <v>139</v>
      </c>
      <c r="I10" s="64" cm="1">
        <f t="array" ref="I10">BRISTO.INT_SIMPSON(_xlfn.LAMBDA(_xlpm.x,_xlpm.x^3+10),-2,10,13)</f>
        <v>2616.0000000000014</v>
      </c>
      <c r="L10" s="30" t="s">
        <v>74</v>
      </c>
      <c r="M10" s="73" cm="1">
        <f t="array" ref="M10:M18">BRISTO.RANGE($M$5,$M$6,$M$7*M8+1)</f>
        <v>-2</v>
      </c>
      <c r="N10" s="73" cm="1">
        <f t="array" ref="N10:N18">_xlfn.LAMBDA(_xlpm.x,_xlpm.x^3+10)(_xlfn.ANCHORARRAY(M10))</f>
        <v>2</v>
      </c>
      <c r="O10" s="72" cm="1">
        <f t="array" ref="O10:O13">_xlfn.SEQUENCE($M$7,,1,M8)</f>
        <v>1</v>
      </c>
      <c r="P10" s="72" cm="1">
        <f t="array" ref="P10:P13">_xlfn.MAP(_xlfn.ANCHORARRAY(O10),_xlfn.LAMBDA(_xlpm.i,M9/3*(INDEX(_xlfn.ANCHORARRAY(N10),_xlpm.i)+4*INDEX(_xlfn.ANCHORARRAY(N10),_xlpm.i+1)+INDEX(_xlfn.ANCHORARRAY(N10),_xlpm.i+2))))</f>
        <v>26.25</v>
      </c>
      <c r="Q10" s="72"/>
      <c r="R10" s="72" t="s">
        <v>74</v>
      </c>
      <c r="S10" s="73" cm="1">
        <f t="array" ref="S10:S22">BRISTO.RANGE($M$5,$M$6,$M$7*S8+1)</f>
        <v>-2</v>
      </c>
      <c r="T10" s="73" cm="1">
        <f t="array" ref="T10:T22">_xlfn.LAMBDA(_xlpm.x,_xlpm.x^3+10)(_xlfn.ANCHORARRAY(S10))</f>
        <v>2</v>
      </c>
      <c r="U10" s="72" cm="1">
        <f t="array" ref="U10:U13">_xlfn.SEQUENCE($M$7,,1,S8)</f>
        <v>1</v>
      </c>
      <c r="V10" s="7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W10" s="72"/>
      <c r="X10" s="72" t="s">
        <v>74</v>
      </c>
      <c r="Y10" s="73" cm="1">
        <f t="array" ref="Y10:Y26">BRISTO.RANGE($M$5,$M$6,$M$7*Y8+1)</f>
        <v>-2</v>
      </c>
      <c r="Z10" s="73" cm="1">
        <f t="array" ref="Z10:Z26">_xlfn.LAMBDA(_xlpm.x,_xlpm.x^3+10)(_xlfn.ANCHORARRAY(Y10))</f>
        <v>2</v>
      </c>
      <c r="AA10" s="72" cm="1">
        <f t="array" ref="AA10:AA13">_xlfn.SEQUENCE($M$7,,1,Y8)</f>
        <v>1</v>
      </c>
      <c r="AB10" s="7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6"/>
    </row>
    <row r="11" spans="2:31" x14ac:dyDescent="0.25">
      <c r="B11" s="30">
        <v>3</v>
      </c>
      <c r="C11" s="26">
        <v>37</v>
      </c>
      <c r="E11" s="61">
        <v>3.5</v>
      </c>
      <c r="F11" s="62">
        <v>52.875</v>
      </c>
      <c r="H11" s="22" t="s">
        <v>145</v>
      </c>
      <c r="I11" s="64" cm="1">
        <f t="array" ref="I11">BRISTO.INT_SIMPSON(_xlfn.LAMBDA(_xlpm.x,_xlpm.x^3+10),-2,10,13,TRUE)</f>
        <v>2615.9999999999977</v>
      </c>
      <c r="L11" s="30"/>
      <c r="M11" s="73">
        <v>-0.5</v>
      </c>
      <c r="N11" s="72">
        <v>9.875</v>
      </c>
      <c r="O11" s="73">
        <v>3</v>
      </c>
      <c r="P11" s="72">
        <v>93.75</v>
      </c>
      <c r="Q11" s="72"/>
      <c r="R11" s="73"/>
      <c r="S11" s="73">
        <v>-1</v>
      </c>
      <c r="T11" s="73">
        <v>9</v>
      </c>
      <c r="U11" s="73">
        <v>4</v>
      </c>
      <c r="V11" s="73">
        <v>93.75</v>
      </c>
      <c r="W11" s="72"/>
      <c r="X11" s="73"/>
      <c r="Y11" s="73">
        <v>-1.25</v>
      </c>
      <c r="Z11" s="73">
        <v>8.046875</v>
      </c>
      <c r="AA11" s="73">
        <v>5</v>
      </c>
      <c r="AB11" s="73">
        <v>93.75</v>
      </c>
      <c r="AC11" s="26"/>
    </row>
    <row r="12" spans="2:31" x14ac:dyDescent="0.25">
      <c r="B12" s="30">
        <v>4</v>
      </c>
      <c r="C12" s="26">
        <v>74</v>
      </c>
      <c r="E12" s="61">
        <v>4.5</v>
      </c>
      <c r="F12" s="62">
        <v>101.125</v>
      </c>
      <c r="H12" s="67" t="s">
        <v>148</v>
      </c>
      <c r="I12" s="70" cm="1">
        <f t="array" ref="I12">BRISTO.INT_BOOLE(_xlfn.LAMBDA(_xlpm.x,_xlpm.x^3+10),-2,10,13)</f>
        <v>2615.9999999999995</v>
      </c>
      <c r="L12" s="30"/>
      <c r="M12" s="73">
        <v>1</v>
      </c>
      <c r="N12" s="72">
        <v>11</v>
      </c>
      <c r="O12" s="73">
        <v>5</v>
      </c>
      <c r="P12" s="72">
        <v>566.25</v>
      </c>
      <c r="Q12" s="72"/>
      <c r="R12" s="73"/>
      <c r="S12" s="73">
        <v>0</v>
      </c>
      <c r="T12" s="73">
        <v>10</v>
      </c>
      <c r="U12" s="73">
        <v>7</v>
      </c>
      <c r="V12" s="73">
        <v>566.25</v>
      </c>
      <c r="W12" s="72"/>
      <c r="X12" s="73"/>
      <c r="Y12" s="73">
        <v>-0.5</v>
      </c>
      <c r="Z12" s="73">
        <v>9.875</v>
      </c>
      <c r="AA12" s="73">
        <v>9</v>
      </c>
      <c r="AB12" s="73">
        <v>566.25</v>
      </c>
      <c r="AC12" s="26"/>
    </row>
    <row r="13" spans="2:31" x14ac:dyDescent="0.25">
      <c r="B13" s="30">
        <v>5</v>
      </c>
      <c r="C13" s="26">
        <v>135</v>
      </c>
      <c r="E13" s="61">
        <v>5.5</v>
      </c>
      <c r="F13" s="62">
        <v>176.375</v>
      </c>
      <c r="H13" s="68" t="s">
        <v>149</v>
      </c>
      <c r="I13" s="69" cm="1">
        <f t="array" ref="I13">BRISTO.INTEGRATE(_xlfn.LAMBDA(_xlpm.x,_xlpm.x^3+10),-2,10,3)</f>
        <v>2615.9999999999927</v>
      </c>
      <c r="L13" s="61"/>
      <c r="M13" s="73">
        <v>2.5</v>
      </c>
      <c r="N13" s="72">
        <v>25.625</v>
      </c>
      <c r="O13" s="73">
        <v>7</v>
      </c>
      <c r="P13" s="72">
        <v>1929.75</v>
      </c>
      <c r="Q13" s="72"/>
      <c r="R13" s="73"/>
      <c r="S13" s="73">
        <v>1</v>
      </c>
      <c r="T13" s="73">
        <v>11</v>
      </c>
      <c r="U13" s="73">
        <v>10</v>
      </c>
      <c r="V13" s="73">
        <v>1929.75</v>
      </c>
      <c r="W13" s="72"/>
      <c r="X13" s="73"/>
      <c r="Y13" s="73">
        <v>0.25</v>
      </c>
      <c r="Z13" s="73">
        <v>10.015625</v>
      </c>
      <c r="AA13" s="73">
        <v>13</v>
      </c>
      <c r="AB13" s="73">
        <v>1929.75</v>
      </c>
      <c r="AC13" s="26"/>
    </row>
    <row r="14" spans="2:31" x14ac:dyDescent="0.25">
      <c r="B14" s="30">
        <v>6</v>
      </c>
      <c r="C14" s="26">
        <v>226</v>
      </c>
      <c r="E14" s="61">
        <v>6.5</v>
      </c>
      <c r="F14" s="62">
        <v>284.625</v>
      </c>
      <c r="L14" s="30"/>
      <c r="M14" s="73">
        <v>4</v>
      </c>
      <c r="N14" s="72">
        <v>74</v>
      </c>
      <c r="O14" s="73"/>
      <c r="P14" s="72"/>
      <c r="Q14" s="72"/>
      <c r="R14" s="72"/>
      <c r="S14" s="73">
        <v>2</v>
      </c>
      <c r="T14" s="73">
        <v>18</v>
      </c>
      <c r="U14" s="73"/>
      <c r="V14" s="73"/>
      <c r="W14" s="72"/>
      <c r="X14" s="72"/>
      <c r="Y14" s="73">
        <v>1</v>
      </c>
      <c r="Z14" s="73">
        <v>11</v>
      </c>
      <c r="AA14" s="73"/>
      <c r="AB14" s="73"/>
      <c r="AC14" s="26"/>
    </row>
    <row r="15" spans="2:31" x14ac:dyDescent="0.25">
      <c r="B15" s="30">
        <v>7</v>
      </c>
      <c r="C15" s="26">
        <v>353</v>
      </c>
      <c r="E15" s="61">
        <v>7.5</v>
      </c>
      <c r="F15" s="62">
        <v>431.875</v>
      </c>
      <c r="H15" s="58" t="s">
        <v>140</v>
      </c>
      <c r="I15" s="65">
        <v>2616</v>
      </c>
      <c r="L15" s="30"/>
      <c r="M15" s="73">
        <v>5.5</v>
      </c>
      <c r="N15" s="72">
        <v>176.375</v>
      </c>
      <c r="O15" s="73"/>
      <c r="P15" s="72"/>
      <c r="Q15" s="72"/>
      <c r="R15" s="72"/>
      <c r="S15" s="73">
        <v>3</v>
      </c>
      <c r="T15" s="73">
        <v>37</v>
      </c>
      <c r="U15" s="73"/>
      <c r="V15" s="73"/>
      <c r="W15" s="72"/>
      <c r="X15" s="72"/>
      <c r="Y15" s="73">
        <v>1.75</v>
      </c>
      <c r="Z15" s="73">
        <v>15.359375</v>
      </c>
      <c r="AA15" s="73"/>
      <c r="AB15" s="73"/>
      <c r="AC15" s="26"/>
    </row>
    <row r="16" spans="2:31" x14ac:dyDescent="0.25">
      <c r="B16" s="30">
        <v>8</v>
      </c>
      <c r="C16" s="26">
        <v>522</v>
      </c>
      <c r="E16" s="61">
        <v>8.5</v>
      </c>
      <c r="F16" s="62">
        <v>624.125</v>
      </c>
      <c r="L16" s="30"/>
      <c r="M16" s="73">
        <v>7</v>
      </c>
      <c r="N16" s="72">
        <v>353</v>
      </c>
      <c r="O16" s="73"/>
      <c r="P16" s="72"/>
      <c r="Q16" s="72"/>
      <c r="R16" s="72"/>
      <c r="S16" s="73">
        <v>4</v>
      </c>
      <c r="T16" s="73">
        <v>74</v>
      </c>
      <c r="U16" s="73"/>
      <c r="V16" s="73"/>
      <c r="W16" s="72"/>
      <c r="X16" s="72"/>
      <c r="Y16" s="73">
        <v>2.5</v>
      </c>
      <c r="Z16" s="73">
        <v>25.625</v>
      </c>
      <c r="AA16" s="73"/>
      <c r="AB16" s="73"/>
      <c r="AC16" s="26"/>
    </row>
    <row r="17" spans="2:29" x14ac:dyDescent="0.25">
      <c r="B17" s="30">
        <v>9</v>
      </c>
      <c r="C17" s="26">
        <v>739</v>
      </c>
      <c r="E17" s="35">
        <v>9.5</v>
      </c>
      <c r="F17" s="37">
        <v>867.375</v>
      </c>
      <c r="L17" s="30"/>
      <c r="M17" s="73">
        <v>8.5</v>
      </c>
      <c r="N17" s="72">
        <v>624.125</v>
      </c>
      <c r="O17" s="73"/>
      <c r="P17" s="72"/>
      <c r="Q17" s="72"/>
      <c r="R17" s="72"/>
      <c r="S17" s="73">
        <v>5</v>
      </c>
      <c r="T17" s="72">
        <v>135</v>
      </c>
      <c r="U17" s="73"/>
      <c r="V17" s="73"/>
      <c r="W17" s="72"/>
      <c r="X17" s="72"/>
      <c r="Y17" s="73">
        <v>3.25</v>
      </c>
      <c r="Z17" s="72">
        <v>44.328125</v>
      </c>
      <c r="AA17" s="73"/>
      <c r="AB17" s="73"/>
      <c r="AC17" s="26"/>
    </row>
    <row r="18" spans="2:29" x14ac:dyDescent="0.25">
      <c r="B18" s="31">
        <v>10</v>
      </c>
      <c r="C18" s="28">
        <v>1010</v>
      </c>
      <c r="L18" s="30"/>
      <c r="M18" s="73">
        <v>10</v>
      </c>
      <c r="N18" s="72">
        <v>1010</v>
      </c>
      <c r="O18" s="73"/>
      <c r="P18" s="72"/>
      <c r="Q18" s="72"/>
      <c r="R18" s="72"/>
      <c r="S18" s="73">
        <v>6</v>
      </c>
      <c r="T18" s="72">
        <v>226</v>
      </c>
      <c r="U18" s="73"/>
      <c r="V18" s="73"/>
      <c r="W18" s="72"/>
      <c r="X18" s="72"/>
      <c r="Y18" s="73">
        <v>4</v>
      </c>
      <c r="Z18" s="72">
        <v>74</v>
      </c>
      <c r="AA18" s="73"/>
      <c r="AB18" s="73"/>
      <c r="AC18" s="26"/>
    </row>
    <row r="19" spans="2:29" x14ac:dyDescent="0.25">
      <c r="L19" s="30"/>
      <c r="M19" s="72"/>
      <c r="N19" s="72"/>
      <c r="O19" s="73"/>
      <c r="P19" s="72"/>
      <c r="Q19" s="72"/>
      <c r="R19" s="72"/>
      <c r="S19" s="73">
        <v>7</v>
      </c>
      <c r="T19" s="72">
        <v>353</v>
      </c>
      <c r="U19" s="73"/>
      <c r="V19" s="73"/>
      <c r="W19" s="72"/>
      <c r="X19" s="72"/>
      <c r="Y19" s="73">
        <v>4.75</v>
      </c>
      <c r="Z19" s="72">
        <v>117.171875</v>
      </c>
      <c r="AA19" s="73"/>
      <c r="AB19" s="73"/>
      <c r="AC19" s="26"/>
    </row>
    <row r="20" spans="2:29" x14ac:dyDescent="0.25">
      <c r="L20" s="30"/>
      <c r="M20" s="72"/>
      <c r="N20" s="72"/>
      <c r="O20" s="73"/>
      <c r="P20" s="72"/>
      <c r="Q20" s="72"/>
      <c r="R20" s="72"/>
      <c r="S20" s="73">
        <v>8</v>
      </c>
      <c r="T20" s="72">
        <v>522</v>
      </c>
      <c r="U20" s="73"/>
      <c r="V20" s="73"/>
      <c r="W20" s="72"/>
      <c r="X20" s="72"/>
      <c r="Y20" s="73">
        <v>5.5</v>
      </c>
      <c r="Z20" s="72">
        <v>176.375</v>
      </c>
      <c r="AA20" s="73"/>
      <c r="AB20" s="73"/>
      <c r="AC20" s="26"/>
    </row>
    <row r="21" spans="2:29" x14ac:dyDescent="0.25">
      <c r="H21" s="3"/>
      <c r="L21" s="30"/>
      <c r="M21" s="72"/>
      <c r="N21" s="72"/>
      <c r="O21" s="73"/>
      <c r="P21" s="72"/>
      <c r="Q21" s="72"/>
      <c r="R21" s="72"/>
      <c r="S21" s="73">
        <v>9</v>
      </c>
      <c r="T21" s="72">
        <v>739</v>
      </c>
      <c r="U21" s="73"/>
      <c r="V21" s="73"/>
      <c r="W21" s="72"/>
      <c r="X21" s="72"/>
      <c r="Y21" s="73">
        <v>6.25</v>
      </c>
      <c r="Z21" s="72">
        <v>254.140625</v>
      </c>
      <c r="AA21" s="73"/>
      <c r="AB21" s="73"/>
      <c r="AC21" s="26"/>
    </row>
    <row r="22" spans="2:29" x14ac:dyDescent="0.25">
      <c r="H22" s="3"/>
      <c r="L22" s="30"/>
      <c r="M22" s="72"/>
      <c r="N22" s="72"/>
      <c r="O22" s="73"/>
      <c r="P22" s="72"/>
      <c r="Q22" s="72"/>
      <c r="R22" s="72"/>
      <c r="S22" s="73">
        <v>10</v>
      </c>
      <c r="T22" s="72">
        <v>1010</v>
      </c>
      <c r="U22" s="73"/>
      <c r="V22" s="73"/>
      <c r="W22" s="72"/>
      <c r="X22" s="72"/>
      <c r="Y22" s="73">
        <v>7</v>
      </c>
      <c r="Z22" s="72">
        <v>353</v>
      </c>
      <c r="AA22" s="73"/>
      <c r="AB22" s="73"/>
      <c r="AC22" s="26"/>
    </row>
    <row r="23" spans="2:29" x14ac:dyDescent="0.25">
      <c r="B23" s="14" t="s">
        <v>150</v>
      </c>
      <c r="H23" s="3"/>
      <c r="L23" s="30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>
        <v>7.75</v>
      </c>
      <c r="Z23" s="72">
        <v>475.484375</v>
      </c>
      <c r="AA23" s="72"/>
      <c r="AB23" s="72"/>
      <c r="AC23" s="26"/>
    </row>
    <row r="24" spans="2:29" x14ac:dyDescent="0.25">
      <c r="B24" s="21" t="s">
        <v>121</v>
      </c>
      <c r="C24" s="25">
        <v>0</v>
      </c>
      <c r="H24" s="3"/>
      <c r="L24" s="30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>
        <v>8.5</v>
      </c>
      <c r="Z24" s="72">
        <v>624.125</v>
      </c>
      <c r="AA24" s="72"/>
      <c r="AB24" s="72"/>
      <c r="AC24" s="26"/>
    </row>
    <row r="25" spans="2:29" x14ac:dyDescent="0.25">
      <c r="B25" s="22" t="s">
        <v>153</v>
      </c>
      <c r="C25" s="71" cm="1">
        <f t="array" ref="C25">BRISTO.INFINITY()</f>
        <v>1.0000000000000001E+300</v>
      </c>
      <c r="H25" s="3"/>
      <c r="L25" s="30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>
        <v>9.25</v>
      </c>
      <c r="Z25" s="72">
        <v>801.453125</v>
      </c>
      <c r="AA25" s="72"/>
      <c r="AB25" s="72"/>
      <c r="AC25" s="26"/>
    </row>
    <row r="26" spans="2:29" x14ac:dyDescent="0.25">
      <c r="B26" s="22" t="s">
        <v>143</v>
      </c>
      <c r="C26" s="26">
        <v>12</v>
      </c>
      <c r="H26" s="3"/>
      <c r="L26" s="30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>
        <v>10</v>
      </c>
      <c r="Z26" s="72">
        <v>1010</v>
      </c>
      <c r="AA26" s="72"/>
      <c r="AB26" s="72"/>
      <c r="AC26" s="26"/>
    </row>
    <row r="27" spans="2:29" x14ac:dyDescent="0.25">
      <c r="B27" s="23" t="s">
        <v>149</v>
      </c>
      <c r="C27" s="37" cm="1">
        <f t="array" ref="C27">BRISTO.INTEGRATE(_xlfn.LAMBDA(_xlpm.x,1/(_xlpm.x+1)^3),C24,C25,C26)</f>
        <v>0.49999999999998873</v>
      </c>
      <c r="H27" s="3"/>
      <c r="L27" s="30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26"/>
    </row>
    <row r="28" spans="2:29" x14ac:dyDescent="0.25">
      <c r="H28" s="3"/>
      <c r="K28" s="3"/>
      <c r="L28" s="30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26"/>
    </row>
    <row r="29" spans="2:29" x14ac:dyDescent="0.25">
      <c r="B29" s="14" t="s">
        <v>154</v>
      </c>
      <c r="H29" s="3"/>
      <c r="L29" s="30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26"/>
    </row>
    <row r="30" spans="2:29" x14ac:dyDescent="0.25">
      <c r="B30" s="21" t="s">
        <v>121</v>
      </c>
      <c r="C30" s="25" cm="1">
        <f t="array" ref="C30">-BRISTO.INFINITY()</f>
        <v>-1.0000000000000001E+300</v>
      </c>
      <c r="H30" s="3"/>
      <c r="L30" s="30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26"/>
    </row>
    <row r="31" spans="2:29" x14ac:dyDescent="0.25">
      <c r="B31" s="22" t="s">
        <v>153</v>
      </c>
      <c r="C31" s="71" cm="1">
        <f t="array" ref="C31">BRISTO.INFINITY()</f>
        <v>1.0000000000000001E+300</v>
      </c>
      <c r="H31" s="3"/>
      <c r="L31" s="30"/>
      <c r="M31" s="72"/>
      <c r="N31" s="72"/>
      <c r="O31" s="72"/>
      <c r="P31" s="72"/>
      <c r="Q31" s="72"/>
      <c r="R31" s="72"/>
      <c r="S31" s="72"/>
      <c r="T31" s="72"/>
      <c r="U31" s="72"/>
      <c r="V31" s="73"/>
      <c r="W31" s="72"/>
      <c r="X31" s="72"/>
      <c r="Y31" s="72"/>
      <c r="Z31" s="72"/>
      <c r="AA31" s="72"/>
      <c r="AB31" s="72"/>
      <c r="AC31" s="26"/>
    </row>
    <row r="32" spans="2:29" x14ac:dyDescent="0.25">
      <c r="B32" s="22" t="s">
        <v>143</v>
      </c>
      <c r="C32" s="26">
        <v>12</v>
      </c>
      <c r="H32" s="3"/>
      <c r="L32" s="30"/>
      <c r="M32" s="72"/>
      <c r="N32" s="72"/>
      <c r="O32" s="72"/>
      <c r="P32" s="72"/>
      <c r="Q32" s="72"/>
      <c r="R32" s="72"/>
      <c r="S32" s="72"/>
      <c r="T32" s="72"/>
      <c r="U32" s="72"/>
      <c r="V32" s="73"/>
      <c r="W32" s="72"/>
      <c r="X32" s="72"/>
      <c r="Y32" s="72"/>
      <c r="Z32" s="72"/>
      <c r="AA32" s="72"/>
      <c r="AB32" s="72"/>
      <c r="AC32" s="26"/>
    </row>
    <row r="33" spans="2:29" x14ac:dyDescent="0.25">
      <c r="B33" s="23" t="s">
        <v>149</v>
      </c>
      <c r="C33" s="37" cm="1">
        <f t="array" ref="C33">BRISTO.INTEGRATE(_xlfn.LAMBDA(_xlpm.x, 1 / (PI() * (1 + _xlpm.x^2))),C30,C31,C32)</f>
        <v>0.99999980487812257</v>
      </c>
      <c r="H33" s="13"/>
      <c r="L33" s="30"/>
      <c r="M33" s="72"/>
      <c r="N33" s="72"/>
      <c r="O33" s="72"/>
      <c r="P33" s="72"/>
      <c r="Q33" s="72"/>
      <c r="R33" s="72"/>
      <c r="S33" s="72"/>
      <c r="T33" s="72"/>
      <c r="U33" s="72"/>
      <c r="V33" s="73"/>
      <c r="W33" s="72"/>
      <c r="X33" s="72"/>
      <c r="Y33" s="72"/>
      <c r="Z33" s="72"/>
      <c r="AA33" s="72"/>
      <c r="AB33" s="72"/>
      <c r="AC33" s="26"/>
    </row>
    <row r="34" spans="2:29" x14ac:dyDescent="0.25">
      <c r="H34" s="3"/>
      <c r="L34" s="30"/>
      <c r="M34" s="72"/>
      <c r="N34" s="72"/>
      <c r="O34" s="72"/>
      <c r="P34" s="72"/>
      <c r="Q34" s="72"/>
      <c r="R34" s="72"/>
      <c r="S34" s="72"/>
      <c r="T34" s="72"/>
      <c r="U34" s="72"/>
      <c r="V34" s="73"/>
      <c r="W34" s="72"/>
      <c r="X34" s="72"/>
      <c r="Y34" s="72"/>
      <c r="Z34" s="72"/>
      <c r="AA34" s="72"/>
      <c r="AB34" s="72"/>
      <c r="AC34" s="26"/>
    </row>
    <row r="35" spans="2:29" x14ac:dyDescent="0.25">
      <c r="H35" s="3"/>
      <c r="L35" s="30"/>
      <c r="M35" s="72"/>
      <c r="N35" s="72"/>
      <c r="O35" s="72"/>
      <c r="P35" s="72"/>
      <c r="Q35" s="72"/>
      <c r="R35" s="72"/>
      <c r="S35" s="72"/>
      <c r="T35" s="72"/>
      <c r="U35" s="72"/>
      <c r="V35" s="73"/>
      <c r="W35" s="72"/>
      <c r="X35" s="72"/>
      <c r="Y35" s="72"/>
      <c r="Z35" s="72"/>
      <c r="AA35" s="72"/>
      <c r="AB35" s="72"/>
      <c r="AC35" s="26"/>
    </row>
    <row r="36" spans="2:29" x14ac:dyDescent="0.25">
      <c r="H36" s="3"/>
      <c r="L36" s="30"/>
      <c r="M36" s="72"/>
      <c r="N36" s="72"/>
      <c r="O36" s="72"/>
      <c r="P36" s="72"/>
      <c r="Q36" s="72"/>
      <c r="R36" s="72"/>
      <c r="S36" s="72"/>
      <c r="T36" s="72"/>
      <c r="U36" s="72"/>
      <c r="V36" s="73"/>
      <c r="W36" s="72"/>
      <c r="X36" s="72"/>
      <c r="Y36" s="72"/>
      <c r="Z36" s="72"/>
      <c r="AA36" s="72"/>
      <c r="AB36" s="72"/>
      <c r="AC36" s="26"/>
    </row>
    <row r="37" spans="2:29" x14ac:dyDescent="0.25">
      <c r="H37" s="3"/>
      <c r="L37" s="30"/>
      <c r="M37" s="72"/>
      <c r="N37" s="72"/>
      <c r="O37" s="72"/>
      <c r="P37" s="72"/>
      <c r="Q37" s="72"/>
      <c r="R37" s="72"/>
      <c r="S37" s="72"/>
      <c r="T37" s="72"/>
      <c r="U37" s="72"/>
      <c r="V37" s="73"/>
      <c r="W37" s="72"/>
      <c r="X37" s="72"/>
      <c r="Y37" s="72"/>
      <c r="Z37" s="72"/>
      <c r="AA37" s="72"/>
      <c r="AB37" s="72"/>
      <c r="AC37" s="26"/>
    </row>
    <row r="38" spans="2:29" x14ac:dyDescent="0.25">
      <c r="H38" s="3"/>
      <c r="L38" s="30"/>
      <c r="M38" s="72"/>
      <c r="N38" s="72"/>
      <c r="O38" s="72"/>
      <c r="P38" s="72"/>
      <c r="Q38" s="72"/>
      <c r="R38" s="72"/>
      <c r="S38" s="72"/>
      <c r="T38" s="72"/>
      <c r="U38" s="72"/>
      <c r="V38" s="73"/>
      <c r="W38" s="72"/>
      <c r="X38" s="72"/>
      <c r="Y38" s="72"/>
      <c r="Z38" s="72"/>
      <c r="AA38" s="72"/>
      <c r="AB38" s="72"/>
      <c r="AC38" s="26"/>
    </row>
    <row r="39" spans="2:29" x14ac:dyDescent="0.25">
      <c r="H39" s="3"/>
      <c r="L39" s="30"/>
      <c r="M39" s="72"/>
      <c r="N39" s="72"/>
      <c r="O39" s="72"/>
      <c r="P39" s="72"/>
      <c r="Q39" s="72"/>
      <c r="R39" s="72"/>
      <c r="S39" s="72"/>
      <c r="T39" s="72"/>
      <c r="U39" s="72"/>
      <c r="V39" s="73"/>
      <c r="W39" s="72"/>
      <c r="X39" s="72"/>
      <c r="Y39" s="72"/>
      <c r="Z39" s="72"/>
      <c r="AA39" s="72"/>
      <c r="AB39" s="72"/>
      <c r="AC39" s="26"/>
    </row>
    <row r="40" spans="2:29" x14ac:dyDescent="0.25">
      <c r="H40" s="3"/>
      <c r="L40" s="30"/>
      <c r="M40" s="72"/>
      <c r="N40" s="72"/>
      <c r="O40" s="72"/>
      <c r="P40" s="72"/>
      <c r="Q40" s="72"/>
      <c r="R40" s="72"/>
      <c r="S40" s="72"/>
      <c r="T40" s="72"/>
      <c r="U40" s="72"/>
      <c r="V40" s="73"/>
      <c r="W40" s="72"/>
      <c r="X40" s="72"/>
      <c r="Y40" s="72"/>
      <c r="Z40" s="72"/>
      <c r="AA40" s="72"/>
      <c r="AB40" s="72"/>
      <c r="AC40" s="26"/>
    </row>
    <row r="41" spans="2:29" x14ac:dyDescent="0.25">
      <c r="H41" s="3"/>
      <c r="L41" s="30"/>
      <c r="M41" s="72"/>
      <c r="N41" s="72"/>
      <c r="O41" s="72"/>
      <c r="P41" s="72"/>
      <c r="Q41" s="72"/>
      <c r="R41" s="72"/>
      <c r="S41" s="72"/>
      <c r="T41" s="72"/>
      <c r="U41" s="72"/>
      <c r="V41" s="73"/>
      <c r="W41" s="72"/>
      <c r="X41" s="72"/>
      <c r="Y41" s="72"/>
      <c r="Z41" s="72"/>
      <c r="AA41" s="72"/>
      <c r="AB41" s="72"/>
      <c r="AC41" s="26"/>
    </row>
    <row r="42" spans="2:29" x14ac:dyDescent="0.25">
      <c r="H42" s="3"/>
      <c r="L42" s="30"/>
      <c r="M42" s="72"/>
      <c r="N42" s="72"/>
      <c r="O42" s="72"/>
      <c r="P42" s="72"/>
      <c r="Q42" s="72"/>
      <c r="R42" s="72"/>
      <c r="S42" s="72"/>
      <c r="T42" s="72"/>
      <c r="U42" s="72"/>
      <c r="V42" s="73"/>
      <c r="W42" s="72"/>
      <c r="X42" s="72"/>
      <c r="Y42" s="72"/>
      <c r="Z42" s="72"/>
      <c r="AA42" s="72"/>
      <c r="AB42" s="72"/>
      <c r="AC42" s="26"/>
    </row>
    <row r="43" spans="2:29" x14ac:dyDescent="0.25">
      <c r="H43" s="3"/>
      <c r="L43" s="30"/>
      <c r="M43" s="72"/>
      <c r="N43" s="72"/>
      <c r="O43" s="72"/>
      <c r="P43" s="72"/>
      <c r="Q43" s="72"/>
      <c r="R43" s="72"/>
      <c r="S43" s="72"/>
      <c r="T43" s="72"/>
      <c r="U43" s="72"/>
      <c r="V43" s="73"/>
      <c r="W43" s="72"/>
      <c r="X43" s="72"/>
      <c r="Y43" s="72"/>
      <c r="Z43" s="72"/>
      <c r="AA43" s="72"/>
      <c r="AB43" s="72"/>
      <c r="AC43" s="26"/>
    </row>
    <row r="44" spans="2:29" x14ac:dyDescent="0.25">
      <c r="H44" s="3"/>
      <c r="L44" s="30"/>
      <c r="M44" s="72"/>
      <c r="N44" s="72"/>
      <c r="O44" s="72"/>
      <c r="P44" s="72"/>
      <c r="Q44" s="72"/>
      <c r="R44" s="72"/>
      <c r="S44" s="72"/>
      <c r="T44" s="72"/>
      <c r="U44" s="72"/>
      <c r="V44" s="73"/>
      <c r="W44" s="72"/>
      <c r="X44" s="72"/>
      <c r="Y44" s="72"/>
      <c r="Z44" s="72"/>
      <c r="AA44" s="72"/>
      <c r="AB44" s="72"/>
      <c r="AC44" s="26"/>
    </row>
    <row r="45" spans="2:29" x14ac:dyDescent="0.25">
      <c r="H45" s="3"/>
      <c r="L45" s="31"/>
      <c r="M45" s="27"/>
      <c r="N45" s="27"/>
      <c r="O45" s="27"/>
      <c r="P45" s="27"/>
      <c r="Q45" s="27"/>
      <c r="R45" s="27"/>
      <c r="S45" s="27"/>
      <c r="T45" s="27"/>
      <c r="U45" s="27"/>
      <c r="V45" s="36"/>
      <c r="W45" s="27"/>
      <c r="X45" s="27"/>
      <c r="Y45" s="27"/>
      <c r="Z45" s="27"/>
      <c r="AA45" s="27"/>
      <c r="AB45" s="27"/>
      <c r="AC45" s="28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>
        <v>5.4032</v>
      </c>
      <c r="Y5" s="6">
        <v>1000000</v>
      </c>
      <c r="Z5" s="3">
        <f>Y5*U5*C5*1%*C5/X5</f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>
        <v>5.4032</v>
      </c>
      <c r="Y6" s="6">
        <v>1000000</v>
      </c>
      <c r="Z6" s="3">
        <f>Y6*U6*C6*1%*C6/X6</f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66" t="s">
        <v>33</v>
      </c>
      <c r="AD8" s="66"/>
      <c r="AE8" s="66"/>
      <c r="AF8" s="66"/>
      <c r="AG8" s="66" t="s">
        <v>34</v>
      </c>
      <c r="AH8" s="66"/>
      <c r="AI8" s="66"/>
      <c r="AJ8" s="66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>AJ11/AF11</f>
        <v>1.0106380942474968</v>
      </c>
      <c r="AL11" s="6">
        <v>11</v>
      </c>
      <c r="AM11">
        <f>AK11^(AL11/(AH11-AD11))</f>
        <v>1.0058370187089534</v>
      </c>
      <c r="AN11">
        <f>AM11*AF11</f>
        <v>1.055423288627489</v>
      </c>
      <c r="AO11" s="15">
        <f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>
        <v>5.4032</v>
      </c>
      <c r="Y12" s="6">
        <v>1000000</v>
      </c>
      <c r="Z12" s="3">
        <f>Y12*U12*C12*1%*C12/X12</f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>AJ12/AF12</f>
        <v>1.0106380942474968</v>
      </c>
      <c r="AL12" s="6">
        <v>11</v>
      </c>
      <c r="AM12">
        <f>AK12^(AL12/(AH12-AD12))</f>
        <v>1.0058370187089534</v>
      </c>
      <c r="AN12">
        <f>AM12*AF12</f>
        <v>1.055423288627489</v>
      </c>
      <c r="AO12" s="15">
        <f>AN12^(252/(AD12+AL12))-1</f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>
        <v>5.4032</v>
      </c>
      <c r="Y13" s="6">
        <v>1000000</v>
      </c>
      <c r="Z13" s="3">
        <f>Y13*U13*C13*1%*C13/X13</f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>AJ13/AF13</f>
        <v>1.0106380942474968</v>
      </c>
      <c r="AL13" s="6">
        <v>11</v>
      </c>
      <c r="AM13">
        <f>AK13^(AL13/(AH13-AD13))</f>
        <v>1.0058370187089534</v>
      </c>
      <c r="AN13">
        <f>AM13*AF13</f>
        <v>1.055423288627489</v>
      </c>
      <c r="AO13" s="15">
        <f>AN13^(252/(AD13+AL13))-1</f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>Y19*U19*C19*1%*C19/X19</f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>AB19-H19</f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>Y20*U20*C20*1%*C20/X20</f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>AB20-H20</f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>
        <f t="shared" si="0"/>
        <v>0</v>
      </c>
      <c r="Y22" s="13">
        <f t="shared" si="0"/>
        <v>0</v>
      </c>
      <c r="Z22" s="13">
        <f t="shared" si="0"/>
        <v>0</v>
      </c>
      <c r="AA22" s="13">
        <f t="shared" si="0"/>
        <v>0</v>
      </c>
    </row>
    <row r="23" spans="1:29" x14ac:dyDescent="0.25">
      <c r="S23" s="13">
        <f t="shared" ref="S23:AA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>
        <f t="shared" si="1"/>
        <v>0</v>
      </c>
      <c r="Y23" s="13">
        <f t="shared" si="1"/>
        <v>0</v>
      </c>
      <c r="Z23" s="13">
        <f t="shared" si="1"/>
        <v>0</v>
      </c>
      <c r="AA23" s="13">
        <f t="shared" si="1"/>
        <v>0</v>
      </c>
    </row>
    <row r="24" spans="1:29" x14ac:dyDescent="0.25">
      <c r="S24" s="13">
        <f t="shared" ref="S24:AA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>
        <f t="shared" si="2"/>
        <v>0</v>
      </c>
      <c r="Y24" s="13">
        <f t="shared" si="2"/>
        <v>0</v>
      </c>
      <c r="Z24" s="13">
        <f t="shared" si="2"/>
        <v>0</v>
      </c>
      <c r="AA24" s="13">
        <f t="shared" si="2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>
        <f t="shared" si="3"/>
        <v>0</v>
      </c>
      <c r="Y25" s="13">
        <f t="shared" si="3"/>
        <v>0</v>
      </c>
      <c r="Z25" s="13">
        <f t="shared" si="3"/>
        <v>0</v>
      </c>
      <c r="AA25" s="13">
        <f t="shared" si="3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">EOMONTH(F27,E27-1)+1</f>
        <v>46023</v>
      </c>
      <c r="H27" t="str">
        <f t="shared" ref="H27:H35" si="5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6">K27/252</f>
        <v>0.10714285714285714</v>
      </c>
      <c r="M27">
        <f t="shared" ref="M27:M35" si="7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8">C27+1</f>
        <v>3</v>
      </c>
      <c r="E28">
        <f t="shared" ref="E28:E35" si="9">E27+1</f>
        <v>3</v>
      </c>
      <c r="F28" s="2">
        <v>45982</v>
      </c>
      <c r="G28" s="2">
        <f t="shared" si="4"/>
        <v>46054</v>
      </c>
      <c r="H28" t="str">
        <f t="shared" si="5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6"/>
        <v>0.19047619047619047</v>
      </c>
      <c r="M28">
        <f t="shared" si="7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8"/>
        <v>4</v>
      </c>
      <c r="E29">
        <f t="shared" si="9"/>
        <v>4</v>
      </c>
      <c r="F29" s="2">
        <v>45982</v>
      </c>
      <c r="G29" s="2">
        <f t="shared" si="4"/>
        <v>46082</v>
      </c>
      <c r="H29" t="str">
        <f t="shared" si="5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6"/>
        <v>0.26190476190476192</v>
      </c>
      <c r="M29">
        <f t="shared" si="7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8"/>
        <v>5</v>
      </c>
      <c r="E30">
        <f t="shared" si="9"/>
        <v>5</v>
      </c>
      <c r="F30" s="2">
        <v>45982</v>
      </c>
      <c r="G30" s="2">
        <f t="shared" si="4"/>
        <v>46113</v>
      </c>
      <c r="H30" t="str">
        <f t="shared" si="5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6"/>
        <v>0.34920634920634919</v>
      </c>
      <c r="M30">
        <f t="shared" si="7"/>
        <v>1.0492985135724895</v>
      </c>
      <c r="S30" s="5"/>
    </row>
    <row r="31" spans="1:29" x14ac:dyDescent="0.25">
      <c r="B31" t="s">
        <v>50</v>
      </c>
      <c r="C31">
        <f t="shared" si="8"/>
        <v>6</v>
      </c>
      <c r="E31">
        <f t="shared" si="9"/>
        <v>6</v>
      </c>
      <c r="F31" s="2">
        <v>45982</v>
      </c>
      <c r="G31" s="2">
        <f t="shared" si="4"/>
        <v>46143</v>
      </c>
      <c r="H31" t="str">
        <f t="shared" si="5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6"/>
        <v>0.42857142857142855</v>
      </c>
      <c r="M31">
        <f t="shared" si="7"/>
        <v>1.060461050053632</v>
      </c>
    </row>
    <row r="32" spans="1:29" x14ac:dyDescent="0.25">
      <c r="B32" t="s">
        <v>51</v>
      </c>
      <c r="C32">
        <f t="shared" si="8"/>
        <v>7</v>
      </c>
      <c r="E32">
        <f t="shared" si="9"/>
        <v>7</v>
      </c>
      <c r="F32" s="2">
        <v>45982</v>
      </c>
      <c r="G32" s="2">
        <f t="shared" si="4"/>
        <v>46174</v>
      </c>
      <c r="H32" t="str">
        <f t="shared" si="5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6"/>
        <v>0.50793650793650791</v>
      </c>
      <c r="M32">
        <f t="shared" si="7"/>
        <v>1.0713873233723397</v>
      </c>
    </row>
    <row r="33" spans="2:19" x14ac:dyDescent="0.25">
      <c r="B33" t="s">
        <v>52</v>
      </c>
      <c r="C33">
        <f t="shared" si="8"/>
        <v>8</v>
      </c>
      <c r="E33">
        <f t="shared" si="9"/>
        <v>8</v>
      </c>
      <c r="F33" s="2">
        <v>45982</v>
      </c>
      <c r="G33" s="2">
        <f t="shared" si="4"/>
        <v>46204</v>
      </c>
      <c r="H33" t="str">
        <f t="shared" si="5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6"/>
        <v>0.59126984126984128</v>
      </c>
      <c r="M33">
        <f t="shared" si="7"/>
        <v>1.0828772091264154</v>
      </c>
      <c r="S33" s="5"/>
    </row>
    <row r="34" spans="2:19" x14ac:dyDescent="0.25">
      <c r="B34" t="s">
        <v>53</v>
      </c>
      <c r="C34">
        <f t="shared" si="8"/>
        <v>9</v>
      </c>
      <c r="E34">
        <f t="shared" si="9"/>
        <v>9</v>
      </c>
      <c r="F34" s="2">
        <v>45982</v>
      </c>
      <c r="G34" s="2">
        <f t="shared" si="4"/>
        <v>46235</v>
      </c>
      <c r="H34" t="str">
        <f t="shared" si="5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6"/>
        <v>0.68253968253968256</v>
      </c>
      <c r="M34">
        <f t="shared" si="7"/>
        <v>1.0953854894705597</v>
      </c>
    </row>
    <row r="35" spans="2:19" x14ac:dyDescent="0.25">
      <c r="B35" t="s">
        <v>54</v>
      </c>
      <c r="C35">
        <f t="shared" si="8"/>
        <v>10</v>
      </c>
      <c r="E35">
        <f t="shared" si="9"/>
        <v>10</v>
      </c>
      <c r="F35" s="2">
        <v>45982</v>
      </c>
      <c r="G35" s="2">
        <f t="shared" si="4"/>
        <v>46266</v>
      </c>
      <c r="H35" t="str">
        <f t="shared" si="5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6"/>
        <v>0.76587301587301593</v>
      </c>
      <c r="M35">
        <f t="shared" si="7"/>
        <v>1.1065985921458159</v>
      </c>
    </row>
    <row r="36" spans="2:19" x14ac:dyDescent="0.25">
      <c r="B36" t="s">
        <v>55</v>
      </c>
      <c r="C36">
        <f t="shared" si="8"/>
        <v>11</v>
      </c>
    </row>
    <row r="37" spans="2:19" x14ac:dyDescent="0.25">
      <c r="B37" t="s">
        <v>56</v>
      </c>
      <c r="C37">
        <f t="shared" si="8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2026-02-08T13:13:55Z</dcterms:modified>
</cp:coreProperties>
</file>